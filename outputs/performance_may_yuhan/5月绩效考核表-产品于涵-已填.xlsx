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c56f3b982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绩效考核表" sheetId="1" r:id="Re0532ecd2b9f4b2f"/>
  </x:sheets>
</x:workbook>
</file>

<file path=xl/sharedStrings.xml><?xml version="1.0" encoding="utf-8"?>
<x:sst xmlns:x="http://schemas.openxmlformats.org/spreadsheetml/2006/main">
  <x:si>
    <x:t xml:space="preserve">员工绩效考核表</x:t>
  </x:si>
  <x:si>
    <x:r>
      <x:rPr>
        <x:b/>
        <x:sz val="1400"/>
        <x:color rgb="FF000000"/>
      </x:rPr>
      <x:t xml:space="preserve">部门：</x:t>
    </x:r>
    <x:r>
      <x:rPr>
        <x:b/>
        <x:u val="single"/>
        <x:sz val="1400"/>
        <x:color rgb="FF000000"/>
        <x:rFont val="微软雅黑"/>
      </x:rPr>
      <x:t xml:space="preserve">        产品开发部                    </x:t>
    </x:r>
    <x:r>
      <x:rPr>
        <x:b/>
        <x:sz val="1400"/>
        <x:color rgb="FF000000"/>
        <x:rFont val="微软雅黑"/>
      </x:rPr>
      <x:t xml:space="preserve"> 岗位：</x:t>
    </x:r>
    <x:r>
      <x:rPr>
        <x:b/>
        <x:u val="single"/>
        <x:sz val="1400"/>
        <x:color rgb="FF000000"/>
        <x:rFont val="微软雅黑"/>
      </x:rPr>
      <x:t xml:space="preserve">        </x:t>
    </x:r>
    <x:r>
      <x:rPr>
        <x:b/>
        <x:sz val="1400"/>
        <x:color rgb="FF000000"/>
        <x:rFont val="微软雅黑"/>
      </x:rPr>
      <x:t xml:space="preserve">  产品负责人   </x:t>
    </x:r>
    <x:r>
      <x:rPr>
        <x:b/>
        <x:u val="single"/>
        <x:sz val="1400"/>
        <x:color rgb="FF000000"/>
        <x:rFont val="微软雅黑"/>
      </x:rPr>
      <x:t xml:space="preserve">           </x:t>
    </x:r>
    <x:r>
      <x:rPr>
        <x:b/>
        <x:sz val="1400"/>
        <x:color rgb="FF000000"/>
        <x:rFont val="微软雅黑"/>
      </x:rPr>
      <x:t xml:space="preserve">  姓名：</x:t>
    </x:r>
    <x:r>
      <x:rPr>
        <x:b/>
        <x:u val="single"/>
        <x:sz val="1400"/>
        <x:color rgb="FF000000"/>
        <x:rFont val="微软雅黑"/>
      </x:rPr>
      <x:t xml:space="preserve">       </x:t>
    </x:r>
    <x:r>
      <x:rPr>
        <x:b/>
        <x:sz val="1400"/>
        <x:color rgb="FF000000"/>
        <x:rFont val="微软雅黑"/>
      </x:rPr>
      <x:t xml:space="preserve">  于涵  </x:t>
    </x:r>
    <x:r>
      <x:rPr>
        <x:b/>
        <x:u val="single"/>
        <x:sz val="1400"/>
        <x:color rgb="FF000000"/>
        <x:rFont val="微软雅黑"/>
      </x:rPr>
      <x:t xml:space="preserve">           </x:t>
    </x:r>
    <x:r>
      <x:rPr>
        <x:b/>
        <x:sz val="1400"/>
        <x:color rgb="FF000000"/>
        <x:rFont val="微软雅黑"/>
      </x:rPr>
      <x:t xml:space="preserve">   上级姓名：</x:t>
    </x:r>
    <x:r>
      <x:rPr>
        <x:b/>
        <x:u val="single"/>
        <x:sz val="1400"/>
        <x:color rgb="FF000000"/>
        <x:rFont val="微软雅黑"/>
      </x:rPr>
      <x:t xml:space="preserve">        Andy              </x:t>
    </x:r>
    <x:r>
      <x:rPr>
        <x:b/>
        <x:sz val="1400"/>
        <x:color rgb="FF000000"/>
        <x:rFont val="微软雅黑"/>
      </x:rPr>
      <x:t xml:space="preserve">             月份：2026年</x:t>
    </x:r>
    <x:r>
      <x:rPr>
        <x:b/>
        <x:u val="single"/>
        <x:sz val="1400"/>
        <x:color rgb="FF000000"/>
        <x:rFont val="微软雅黑"/>
      </x:rPr>
      <x:t xml:space="preserve">  5 </x:t>
    </x:r>
    <x:r>
      <x:rPr>
        <x:b/>
        <x:sz val="1400"/>
        <x:color rgb="FF000000"/>
        <x:rFont val="微软雅黑"/>
      </x:rPr>
      <x:t xml:space="preserve">月</x:t>
    </x:r>
  </x:si>
  <x:si>
    <x:t xml:space="preserve">考核维度</x:t>
  </x:si>
  <x:si>
    <x:t xml:space="preserve">考核指标</x:t>
  </x:si>
  <x:si>
    <x:t xml:space="preserve">权重</x:t>
  </x:si>
  <x:si>
    <x:t xml:space="preserve">定义/考察点</x:t>
  </x:si>
  <x:si>
    <x:t xml:space="preserve">关键措施
(为达成目标要做的重要三件事）</x:t>
  </x:si>
  <x:si>
    <x:t xml:space="preserve">数据来源</x:t>
  </x:si>
  <x:si>
    <x:t xml:space="preserve">实际完成情况填写
（先填写数据，再填写关键措施完成情况）</x:t>
  </x:si>
  <x:si>
    <x:t xml:space="preserve">目标完成率</x:t>
  </x:si>
  <x:si>
    <x:t xml:space="preserve">自评
（20%）</x:t>
  </x:si>
  <x:si>
    <x:t xml:space="preserve">上评
（80%）</x:t>
  </x:si>
  <x:si>
    <x:t xml:space="preserve">实际得分</x:t>
  </x:si>
  <x:si>
    <x:t xml:space="preserve">协作响应与沟通</x:t>
  </x:si>
  <x:si>
    <x:t xml:space="preserve">1、消息响应时效：工作核心时段（09:30-19:00）对同事、上级的@消息或重要信息，平均响应时间≤5分钟；紧急需求及时回应。
2、任务协作反馈：在协作中主动同步进度、困难和风险，不等到最后一刻才暴露问题。
3、跨部门满意度：由协作方（开发、产品、运营等）匿名评价沟通顺畅度、信息透明度、配合意愿。</x:t>
  </x:si>
  <x:si>
    <x:t xml:space="preserve">1.及时响应，工作期间时刻关注开发群信息以及同事口头讨论的问题。
2.主动同步，任务关键节点完成后，第一时间告知协作方。
3.提前预警：若协作任务可能延期，提前 24 小时向上级及协作方说明原因，同步调整后的计划</x:t>
  </x:si>
  <x:si>
    <x:t xml:space="preserve">360度反馈</x:t>
  </x:si>
  <x:si>
    <x:t xml:space="preserve">请假/调休规范性</x:t>
  </x:si>
  <x:si>
    <x:t xml:space="preserve">1、提前申请：请假/调休至少提前1天与上级沟通，经批准后在飞书系统上申请（紧急情况事后补流程）。
2、流程合规：无故缺勤（未请假且未到岗）视为旷工，此考核项直接0分；频繁临时请假（月度≥3次）扣分。</x:t>
  </x:si>
  <x:si>
    <x:t xml:space="preserve">1.提前申请：请假 / 调休至少提前 1 天在飞书系统提交申请，经上级审批通过后执行；紧急情况事后 24 小时内补提流程。
2.规范交接：请假前完成工作交接，明确交接人及待办事项，确保工作不中断。
3.避免旷工：绝不出现未请假且未到岗的情况；月度临时请假控制在 2 次以内，超过次数提前与上级沟通。</x:t>
  </x:si>
  <x:si>
    <x:t xml:space="preserve">人事系统记录</x:t>
  </x:si>
  <x:si>
    <x:t xml:space="preserve">核心产出（70%）</x:t>
  </x:si>
  <x:si>
    <x:t xml:space="preserve">需求文档质量</x:t>
  </x:si>
  <x:si>
    <x:t xml:space="preserve">1、定义：产品需求文档（PRD）是否清晰、完整、逻辑严密。
2、 月度重点需求（详见飞书需求文档）的PRD评审一次性通过率（开发无重大疑问）</x:t>
  </x:si>
  <x:si>
    <x:t xml:space="preserve">1. 撰写高质量PRD，包含流程图、原型、边界条件
2. 组织需求评审会，提前向开发讲解业务逻辑
3. 根据评审反馈及时修订文档</x:t>
  </x:si>
  <x:si>
    <x:t xml:space="preserve">PRD评审会议记录
开发/测试反馈</x:t>
  </x:si>
  <x:si>
    <x:t xml:space="preserve">项目推进效果</x:t>
  </x:si>
  <x:si>
    <x:t xml:space="preserve">1、定义：负责的产品功能上线后，对核心业务指标的影响程度。
2、月度需求变更次数≤3次，且无重大方向性变更</x:t>
  </x:si>
  <x:si>
    <x:t xml:space="preserve">1. 制定详细排期表，明确各岗位交付节点
2. 每日跟进开发进度，识别风险并推动解决
3. 对高风险项（如麦克风问题）协助技术做出合理决策
4. 需求确认前充分与设计、开发对齐
5. 变更时及时同步，评估影响范围
6. 记录变更原因，复盘优化</x:t>
  </x:si>
  <x:si>
    <x:t xml:space="preserve">项目进度记录</x:t>
  </x:si>
  <x:si>
    <x:t xml:space="preserve">产品效果</x:t>
  </x:si>
  <x:si>
    <x:t xml:space="preserve">新增功能上线后，相关核心指标（如礼物发送量、游戏房参与率、红包使用率）环比提升</x:t>
  </x:si>
  <x:si>
    <x:t xml:space="preserve">1. 上线前定义成功指标（如：国旗礼物点击率提升10%）
2. 上线后持续监控数据，输出分析报告
3. 提出下一步优化建议</x:t>
  </x:si>
  <x:si>
    <x:t xml:space="preserve">数据后台</x:t>
  </x:si>
  <x:si>
    <x:t xml:space="preserve">线上用户反馈响应</x:t>
  </x:si>
  <x:si>
    <x:t xml:space="preserve">月度上线功能无重大用户投诉或体验问题；及时处理用户反馈</x:t>
  </x:si>
  <x:si>
    <x:t xml:space="preserve">1. 收集运营反馈，整理优先级
2. 对紧急问题推动快速修复
3. 输出用户反馈复盘记录</x:t>
  </x:si>
  <x:si>
    <x:t xml:space="preserve">运营反馈群</x:t>
  </x:si>
  <x:si>
    <x:t xml:space="preserve">总计</x:t>
  </x:si>
  <x:si>
    <x:t xml:space="preserve">评价等级：A、杰出贡献者（90分及以上）；B+、优秀贡献者（80-89分）；B、扎实贡献者（70-79分）；C、较低贡献者（60-69分）；D、不可接受（60分以下（不含60分））</x:t>
  </x:si>
  <x:si>
    <x:t xml:space="preserve">结果应用：绩效分数直接作为是否符合录用条件依据之一，如分数低于80分（不含80）或等级低于B（含此等级）的人员，视为不符合录用条件，公司可结束试用期，根据试用期内实际工作情况，例如：是否有杰出工作贡献、重大专项贡献等，经部门负责人申请后，公司再就机会。两次及以上分数低于80分（不含80）或等级低于B(含此等级)的人员公司将直接不予以录用。</x:t>
  </x:si>
  <x:si>
    <x:t xml:space="preserve">上级月度总结评价：</x:t>
  </x:si>
  <x:si>
    <x:t xml:space="preserve">本人签名表示已与上级共同讨论了相关内容、同意绩效计划内容并全力以赴！并对此绩效结果无异议！（第一次摘抄以下承诺：我知道，奖金是挣出来的；我明白，只有我全力以赴，团队才能实现目标。我一定履行承诺，遵守绩效结果的奖惩规定！加油！）</x:t>
  </x:si>
  <x:si>
    <x:t xml:space="preserve">上级确认：</x:t>
  </x:si>
  <x:si>
    <x:t xml:space="preserve">部门负责人确认：</x:t>
  </x:si>
  <x:si>
    <x:t xml:space="preserve">员工确认：</x:t>
  </x:si>
  <x:si>
    <x:t xml:space="preserve">人资备案：</x:t>
  </x:si>
  <x:si>
    <x:t xml:space="preserve">日期：</x:t>
  </x:si>
  <x:si>
    <x:t xml:space="preserve">备注：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</x:si>
</x:sst>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"/>
    <x:numFmt numFmtId="200" formatCode="0%"/>
    <x:numFmt numFmtId="201" formatCode="0.0"/>
  </x:numFmts>
  <x:fonts count="29">
    <x:font>
      <x:sz val="11"/>
      <x:color theme="1"/>
      <x:name val="宋体"/>
    </x:font>
    <x:font>
      <x:sz val="10"/>
      <x:color theme="1"/>
      <x:name val="微软雅黑"/>
    </x:font>
    <x:font>
      <x:b/>
      <x:sz val="14"/>
      <x:name val="微软雅黑"/>
    </x:font>
    <x:font>
      <x:b/>
      <x:sz val="10"/>
      <x:color theme="1"/>
      <x:name val="微软雅黑"/>
    </x:font>
    <x:font>
      <x:sz val="10"/>
      <x:color rgb="FF0F1115"/>
      <x:name val="微软雅黑"/>
    </x:font>
    <x:font>
      <x:b/>
      <x:sz val="12"/>
      <x:color theme="1"/>
      <x:name val="微软雅黑"/>
    </x:font>
    <x:font>
      <x:b/>
      <x:sz val="10"/>
      <x:color indexed="8"/>
      <x:name val="微软雅黑"/>
    </x:font>
    <x:font>
      <x:b/>
      <x:sz val="10"/>
      <x:color rgb="FF000000"/>
      <x:name val="微软雅黑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2"/>
      <x:name val="宋体"/>
    </x:font>
    <x:font>
      <x:b/>
      <x:sz val="14"/>
      <x:name val="微软雅黑"/>
    </x:font>
  </x:fonts>
  <x:fills count="34">
    <x:fill>
      <x:patternFill patternType="none"/>
    </x:fill>
    <x:fill>
      <x:patternFill patternType="gray125"/>
    </x:fill>
    <x:fill>
      <x:patternFill patternType="solid">
        <x:fgColor theme="4" tint="0.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0" fillId="3" borderId="5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6" applyNumberFormat="0" applyFill="0" applyAlignment="0" applyProtection="0">
      <x:alignment vertical="center"/>
    </x:xf>
    <x:xf numFmtId="0" fontId="14" fillId="0" borderId="6" applyNumberFormat="0" applyFill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4" borderId="8" applyNumberFormat="0" applyAlignment="0" applyProtection="0">
      <x:alignment vertical="center"/>
    </x:xf>
    <x:xf numFmtId="0" fontId="17" fillId="5" borderId="9" applyNumberFormat="0" applyAlignment="0" applyProtection="0">
      <x:alignment vertical="center"/>
    </x:xf>
    <x:xf numFmtId="0" fontId="18" fillId="5" borderId="8" applyNumberFormat="0" applyAlignment="0" applyProtection="0">
      <x:alignment vertical="center"/>
    </x:xf>
    <x:xf numFmtId="0" fontId="19" fillId="6" borderId="10" applyNumberFormat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1" fillId="0" borderId="12" applyNumberFormat="0" applyFill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7" fillId="0" borderId="0">
      <x:alignment vertical="center"/>
    </x:xf>
  </x:cellStyleXfs>
  <x:cellXfs count="39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9" fontId="1" fillId="0" borderId="0" xfId="0" applyNumberFormat="1" applyFont="1" applyAlignment="1">
      <x:alignment horizontal="center" vertical="center"/>
    </x:xf>
    <x:xf numFmtId="9" fontId="2" fillId="2" borderId="1" xfId="0" applyNumberFormat="1" applyFont="1" applyFill="1" applyBorder="1" applyAlignment="1">
      <x:alignment horizontal="center" vertical="center"/>
    </x:xf>
    <x:xf numFmtId="9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49" applyFont="1" applyFill="1" applyBorder="1" applyAlignment="1">
      <x:alignment horizontal="left" vertical="center" wrapText="1"/>
    </x:xf>
    <x:xf numFmtId="0" fontId="3" fillId="2" borderId="1" xfId="0" applyFont="1" applyFill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 wrapText="1"/>
    </x:xf>
    <x:xf numFmtId="9" fontId="3" fillId="2" borderId="1" xfId="0" applyNumberFormat="1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9" fontId="1" fillId="0" borderId="1" xfId="0" applyNumberFormat="1" applyFont="1" applyBorder="1" applyAlignment="1">
      <x:alignment horizontal="center" vertical="center"/>
    </x:xf>
    <x:xf numFmtId="0" fontId="1" fillId="0" borderId="1" xfId="0" applyFont="1" applyBorder="1" applyAlignment="1">
      <x:alignment horizontal="left" vertical="center" wrapText="1"/>
    </x:xf>
    <x:xf numFmtId="0" fontId="1" fillId="0" borderId="1" xfId="0" applyFont="1" applyFill="1" applyBorder="1" applyAlignment="1">
      <x:alignment horizontal="left" vertical="center" wrapText="1"/>
    </x:xf>
    <x:xf numFmtId="0" fontId="1" fillId="0" borderId="1" xfId="0" applyFont="1" applyBorder="1" applyAlignment="1">
      <x:alignment horizontal="center" vertical="center" wrapText="1"/>
    </x:xf>
    <x:xf numFmtId="9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Font="1" applyFill="1" applyBorder="1" applyAlignment="1">
      <x:alignment horizontal="center" vertical="center" wrapText="1"/>
    </x:xf>
    <x:xf numFmtId="176" fontId="1" fillId="0" borderId="0" xfId="0" applyNumberFormat="1" applyFont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9" fontId="1" fillId="0" borderId="1" xfId="0" applyNumberFormat="1" applyFont="1" applyFill="1" applyBorder="1" applyAlignment="1">
      <x:alignment horizontal="center" vertical="center"/>
    </x:xf>
    <x:xf numFmtId="9" fontId="1" fillId="0" borderId="1" xfId="0" applyNumberFormat="1" applyFont="1" applyFill="1" applyBorder="1" applyAlignment="1">
      <x:alignment horizontal="center" vertical="center" wrapText="1"/>
    </x:xf>
    <x:xf numFmtId="0" fontId="5" fillId="0" borderId="2" xfId="0" applyFont="1" applyFill="1" applyBorder="1" applyAlignment="1">
      <x:alignment horizontal="center" vertical="center" wrapText="1"/>
    </x:xf>
    <x:xf numFmtId="0" fontId="5" fillId="0" borderId="3" xfId="0" applyFont="1" applyFill="1" applyBorder="1" applyAlignment="1">
      <x:alignment horizontal="center" vertical="center" wrapText="1"/>
    </x:xf>
    <x:xf numFmtId="0" fontId="6" fillId="0" borderId="1" xfId="49" applyFont="1" applyFill="1" applyBorder="1" applyAlignment="1">
      <x:alignment horizontal="left" vertical="center" wrapText="1"/>
    </x:xf>
    <x:xf numFmtId="0" fontId="6" fillId="0" borderId="1" xfId="49" applyFont="1" applyFill="1" applyBorder="1" applyAlignment="1">
      <x:alignment horizontal="left" vertical="center"/>
    </x:xf>
    <x:xf numFmtId="0" fontId="6" fillId="0" borderId="1" xfId="49" applyFont="1" applyFill="1" applyBorder="1" applyAlignment="1">
      <x:alignment horizontal="center" vertical="center"/>
    </x:xf>
    <x:xf numFmtId="0" fontId="7" fillId="0" borderId="1" xfId="49" applyFont="1" applyFill="1" applyBorder="1" applyAlignment="1">
      <x:alignment horizontal="left" vertical="center" wrapText="1"/>
    </x:xf>
    <x:xf numFmtId="0" fontId="6" fillId="0" borderId="1" xfId="49" applyFont="1" applyFill="1" applyBorder="1" applyAlignment="1">
      <x:alignment vertical="center" wrapText="1"/>
    </x:xf>
    <x:xf numFmtId="0" fontId="6" fillId="0" borderId="2" xfId="49" applyFont="1" applyFill="1" applyBorder="1" applyAlignment="1">
      <x:alignment horizontal="left" vertical="center"/>
    </x:xf>
    <x:xf numFmtId="0" fontId="6" fillId="0" borderId="3" xfId="49" applyFont="1" applyFill="1" applyBorder="1" applyAlignment="1">
      <x:alignment horizontal="left" vertical="center"/>
    </x:xf>
    <x:xf numFmtId="0" fontId="6" fillId="0" borderId="4" xfId="49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left" vertical="center" wrapText="1"/>
    </x:xf>
    <x:xf numFmtId="201" fontId="1" fillId="0" borderId="1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bae7c27534ec3" /><Relationship Type="http://schemas.openxmlformats.org/officeDocument/2006/relationships/theme" Target="/xl/theme/theme1.xml" Id="R60ce5b574bb7415e" /><Relationship Type="http://schemas.openxmlformats.org/officeDocument/2006/relationships/sharedStrings" Target="/xl/sharedStrings.xml" Id="R4f70eee78c294027" /><Relationship Type="http://schemas.openxmlformats.org/officeDocument/2006/relationships/worksheet" Target="/xl/worksheets/sheet1.xml" Id="Re0532ecd2b9f4b2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699999809265137"/>
  <x:cols>
    <x:col min="1" max="1" width="17.52252197265625" style="1" customWidth="1"/>
    <x:col min="2" max="2" width="18.29729652404785" style="2" customWidth="1"/>
    <x:col min="3" max="3" width="8.648648262023926" style="3" customWidth="1"/>
    <x:col min="4" max="4" width="77.9909896850586" style="1" customWidth="1"/>
    <x:col min="5" max="5" width="45.4594612121582" style="1" customWidth="1"/>
    <x:col min="6" max="6" width="22.7747745513916" style="2" customWidth="1"/>
    <x:col min="7" max="7" width="36.66999816894531" style="1" hidden="0" customWidth="1"/>
    <x:col min="8" max="8" width="8.00900936126709" style="2" customWidth="1"/>
    <x:col min="9" max="10" width="8.972972869873047" style="1" customWidth="1"/>
    <x:col min="11" max="11" width="9.351351737976074" style="1" customWidth="1"/>
    <x:col min="12" max="13" width="9" style="1" customWidth="0"/>
    <x:col min="14" max="14" width="15.91891860961914" style="1" customWidth="0"/>
    <x:col min="15" max="16384" width="9" style="1" customWidth="0"/>
  </x:cols>
  <x:sheetData>
    <x:row r="1" ht="35" customHeight="1">
      <x:c r="A1" s="4" t="s">
        <x:v>0</x:v>
      </x:c>
      <x:c r="B1" s="4"/>
      <x:c r="C1" s="4"/>
      <x:c r="D1" s="4"/>
      <x:c r="E1" s="4"/>
      <x:c r="F1" s="5"/>
      <x:c r="G1" s="4"/>
      <x:c r="H1" s="5"/>
      <x:c r="I1" s="4"/>
      <x:c r="J1" s="4"/>
      <x:c r="K1" s="4"/>
    </x:row>
    <x:row r="2" ht="20.100000381469727">
      <x:c r="A2" s="6" t="s">
        <x:v>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48" customHeight="1">
      <x:c r="A3" s="7" t="s">
        <x:v>2</x:v>
      </x:c>
      <x:c r="B3" s="8" t="s">
        <x:v>3</x:v>
      </x:c>
      <x:c r="C3" s="9" t="s">
        <x:v>4</x:v>
      </x:c>
      <x:c r="D3" s="7" t="s">
        <x:v>5</x:v>
      </x:c>
      <x:c r="E3" s="8" t="s">
        <x:v>6</x:v>
      </x:c>
      <x:c r="F3" s="8" t="s">
        <x:v>7</x:v>
      </x:c>
      <x:c r="G3" s="8" t="s">
        <x:v>8</x:v>
      </x:c>
      <x:c r="H3" s="8" t="s">
        <x:v>9</x:v>
      </x:c>
      <x:c r="I3" s="8" t="s">
        <x:v>10</x:v>
      </x:c>
      <x:c r="J3" s="8" t="s">
        <x:v>11</x:v>
      </x:c>
      <x:c r="K3" s="7" t="s">
        <x:v>12</x:v>
      </x:c>
    </x:row>
    <x:row r="4" ht="101.25" customHeight="1">
      <x:c r="A4" s="10">
        <x:v>13</x:v>
      </x:c>
      <x:c r="B4" s="11" t="s">
        <x:v>13</x:v>
      </x:c>
      <x:c r="C4" s="12">
        <x:v>0.15</x:v>
      </x:c>
      <x:c r="D4" s="13" t="s">
        <x:v>14</x:v>
      </x:c>
      <x:c r="E4" s="14" t="s">
        <x:v>15</x:v>
      </x:c>
      <x:c r="F4" s="15" t="s">
        <x:v>16</x:v>
      </x:c>
      <x:c r="G4" s="32" t="str">
        <x:v>数据：5月对齐三方游戏、幸运礼物、红包风控、主播小号风控、预支/借支扣除等需求，评审问题均及时响应。
完成：关键节点主动同步；风险和变更提前写入PRD并同步影响范围。</x:v>
      </x:c>
      <x:c r="H4" s="34" t="n">
        <x:v>1</x:v>
      </x:c>
      <x:c r="I4" s="36" t="n">
        <x:v>96</x:v>
      </x:c>
      <x:c r="J4" s="37"/>
      <x:c r="K4" s="37" t="n">
        <x:f>C4*H4*IF(J4="",I4,I4*20%+J4*80%)</x:f>
        <x:v>14.399999999999999</x:v>
      </x:c>
      <x:c r="N4" s="18"/>
    </x:row>
    <x:row r="5" ht="71.25" customHeight="1">
      <x:c r="A5" s="10"/>
      <x:c r="B5" s="15" t="s">
        <x:v>17</x:v>
      </x:c>
      <x:c r="C5" s="12">
        <x:v>0.15</x:v>
      </x:c>
      <x:c r="D5" s="13" t="s">
        <x:v>18</x:v>
      </x:c>
      <x:c r="E5" s="14" t="s">
        <x:v>19</x:v>
      </x:c>
      <x:c r="F5" s="15" t="s">
        <x:v>20</x:v>
      </x:c>
      <x:c r="G5" s="32" t="str">
        <x:v>数据：本月未出现无故缺勤；请假/调休按流程沟通并完成交接。
完成：离岗前同步待办和交接人，未影响需求评审与推进。</x:v>
      </x:c>
      <x:c r="H5" s="34" t="n">
        <x:v>1</x:v>
      </x:c>
      <x:c r="I5" s="36" t="n">
        <x:v>100</x:v>
      </x:c>
      <x:c r="J5" s="36"/>
      <x:c r="K5" s="36" t="n">
        <x:f>C5*H5*IF(J5="",I5,I5*20%+J5*80%)</x:f>
        <x:v>15</x:v>
      </x:c>
      <x:c r="N5" s="18"/>
    </x:row>
    <x:row r="6" ht="108.75" customHeight="1">
      <x:c r="A6" s="19" t="s">
        <x:v>21</x:v>
      </x:c>
      <x:c r="B6" s="17" t="s">
        <x:v>22</x:v>
      </x:c>
      <x:c r="C6" s="20">
        <x:v>0.2</x:v>
      </x:c>
      <x:c r="D6" s="14" t="s">
        <x:v>23</x:v>
      </x:c>
      <x:c r="E6" s="14" t="s">
        <x:v>24</x:v>
      </x:c>
      <x:c r="F6" s="17" t="s">
        <x:v>25</x:v>
      </x:c>
      <x:c r="G6" s="32" t="str">
        <x:v>数据：完成三方游戏接入PRD v1.5、游戏房PRD v1.0、主播小号风控PRD v1.2、预支/借支扣除PRD、幸运礼物方案、红包风控梳理；输出16张游戏房原型拆解图。
完成：补齐流程、权限、后台、结算、埋点、异常边界和风控阈值，形成8类关键裁决。</x:v>
      </x:c>
      <x:c r="H6" s="34" t="n">
        <x:v>1</x:v>
      </x:c>
      <x:c r="I6" s="36" t="n">
        <x:v>96</x:v>
      </x:c>
      <x:c r="J6" s="36"/>
      <x:c r="K6" s="36" t="n">
        <x:f>C6*H6*IF(J6="",I6,I6*20%+J6*80%)</x:f>
        <x:v>19.200000000000003</x:v>
      </x:c>
      <x:c r="N6" s="18"/>
    </x:row>
    <x:row r="7" ht="97.5" customHeight="1">
      <x:c r="A7" s="19"/>
      <x:c r="B7" s="17" t="s">
        <x:v>26</x:v>
      </x:c>
      <x:c r="C7" s="20">
        <x:v>0.2</x:v>
      </x:c>
      <x:c r="D7" s="14" t="s">
        <x:v>27</x:v>
      </x:c>
      <x:c r="E7" s="14" t="s">
        <x:v>28</x:v>
      </x:c>
      <x:c r="F7" s="17" t="s">
        <x:v>29</x:v>
      </x:c>
      <x:c r="G7" s="32" t="str">
        <x:v>数据：三方游戏从基础方案迭代到v1.5，明确V1范围、Private room、最小化、观战/再来一局、H5超时、扣费退款、配置快照和风控阈值。
完成：拆解客户端/服务端/后台/测试交付点，需求方向无重大变更。</x:v>
      </x:c>
      <x:c r="H7" s="34" t="n">
        <x:v>0.95</x:v>
      </x:c>
      <x:c r="I7" s="36" t="n">
        <x:v>94</x:v>
      </x:c>
      <x:c r="J7" s="36"/>
      <x:c r="K7" s="36" t="n">
        <x:f>C7*H7*IF(J7="",I7,I7*20%+J7*80%)</x:f>
        <x:v>17.86</x:v>
      </x:c>
      <x:c r="N7" s="18"/>
    </x:row>
    <x:row r="8" ht="97.5" customHeight="1">
      <x:c r="A8" s="19"/>
      <x:c r="B8" s="17" t="s">
        <x:v>30</x:v>
      </x:c>
      <x:c r="C8" s="20">
        <x:v>0.2</x:v>
      </x:c>
      <x:c r="D8" s="14" t="s">
        <x:v>31</x:v>
      </x:c>
      <x:c r="E8" s="14" t="s">
        <x:v>32</x:v>
      </x:c>
      <x:c r="F8" s="17" t="s">
        <x:v>33</x:v>
      </x:c>
      <x:c r="G8" s="32" t="str">
        <x:v>数据：三方游戏与幸运礼物/红包处于上线/灰度准备，已定义入口点击率≥15%、加载成功率≥95%、开局成功率≥90%、完成率≥90%、结算失败率≤0.5%。
完成：补齐埋点验收、风控与成本控制方案，灰度后按看板复盘。</x:v>
      </x:c>
      <x:c r="H8" s="34" t="n">
        <x:v>0.9</x:v>
      </x:c>
      <x:c r="I8" s="36" t="n">
        <x:v>90</x:v>
      </x:c>
      <x:c r="J8" s="36"/>
      <x:c r="K8" s="36" t="n">
        <x:f>C8*H8*IF(J8="",I8,I8*20%+J8*80%)</x:f>
        <x:v>16.200000000000003</x:v>
      </x:c>
      <x:c r="N8" s="18"/>
    </x:row>
    <x:row r="9" ht="90" customHeight="1">
      <x:c r="A9" s="19"/>
      <x:c r="B9" s="17" t="s">
        <x:v>34</x:v>
      </x:c>
      <x:c r="C9" s="21">
        <x:v>0.1</x:v>
      </x:c>
      <x:c r="D9" s="14" t="s">
        <x:v>35</x:v>
      </x:c>
      <x:c r="E9" s="14" t="s">
        <x:v>36</x:v>
      </x:c>
      <x:c r="F9" s="17" t="s">
        <x:v>37</x:v>
      </x:c>
      <x:c r="G9" s="32" t="str">
        <x:v>数据：处理评审/运营/测试反馈，补齐最小化/观战、房主退出、Play Again、H5白屏、扣费失败退款、红包自抢/并发/机器人/退款套利等问题。
完成：P0/P1问题优先闭环，暂未记录重大线上投诉。</x:v>
      </x:c>
      <x:c r="H9" s="34" t="n">
        <x:v>1</x:v>
      </x:c>
      <x:c r="I9" s="36" t="n">
        <x:v>95</x:v>
      </x:c>
      <x:c r="J9" s="36"/>
      <x:c r="K9" s="36" t="n">
        <x:f>C9*H9*IF(J9="",I9,I9*20%+J9*80%)</x:f>
        <x:v>9.5</x:v>
      </x:c>
      <x:c r="N9" s="18"/>
    </x:row>
    <x:row r="10" ht="56" customHeight="1">
      <x:c r="A10" s="22" t="s">
        <x:v>38</x:v>
      </x:c>
      <x:c r="B10" s="23"/>
      <x:c r="C10" s="35" t="n">
        <x:f>SUM(C4:C9)</x:f>
        <x:v>0.9999999999999999</x:v>
      </x:c>
      <x:c r="D10" s="19"/>
      <x:c r="E10" s="19"/>
      <x:c r="F10" s="19"/>
      <x:c r="G10" s="19"/>
      <x:c r="H10" s="35" t="n">
        <x:f>SUMPRODUCT(C4:C9,H4:H9)</x:f>
        <x:v>0.97</x:v>
      </x:c>
      <x:c r="I10" s="38" t="n">
        <x:f>SUMPRODUCT(C4:C9,I4:I9)</x:f>
        <x:v>94.9</x:v>
      </x:c>
      <x:c r="J10" s="38" t="str">
        <x:f>IF(COUNT(J4:J9)=0,"",SUMPRODUCT(C4:C9,J4:J9))</x:f>
      </x:c>
      <x:c r="K10" s="38" t="n">
        <x:f>SUM(K4:K9)</x:f>
        <x:v>92.16000000000001</x:v>
      </x:c>
    </x:row>
    <x:row r="11" ht="39" customHeight="1">
      <x:c r="A11" s="24" t="s">
        <x:v>39</x:v>
      </x:c>
      <x:c r="B11" s="25"/>
      <x:c r="C11" s="25"/>
      <x:c r="D11" s="25"/>
      <x:c r="E11" s="25"/>
      <x:c r="F11" s="25"/>
      <x:c r="G11" s="25"/>
      <x:c r="H11" s="25"/>
      <x:c r="I11" s="26"/>
      <x:c r="J11" s="26"/>
      <x:c r="K11" s="26"/>
    </x:row>
    <x:row r="12" ht="39" customHeight="1">
      <x:c r="A12" s="27" t="s">
        <x:v>40</x:v>
      </x:c>
      <x:c r="B12" s="25"/>
      <x:c r="C12" s="25"/>
      <x:c r="D12" s="25"/>
      <x:c r="E12" s="25"/>
      <x:c r="F12" s="25"/>
      <x:c r="G12" s="25"/>
      <x:c r="H12" s="25"/>
      <x:c r="I12" s="26"/>
      <x:c r="J12" s="26"/>
      <x:c r="K12" s="26"/>
    </x:row>
    <x:row r="13" ht="82.5" customHeight="1">
      <x:c r="A13" s="33" t="str">
        <x:v>自我月度总结：5月主要围绕中东语聊房互动增长和平台风控两条线推进。增长侧完成三方休闲游戏接入方案从v1.0到v1.5的评审补齐，输出游戏房客户端原型拆解、后台配置、埋点验收、资产结算与异常边界规则；商业化侧完成幸运礼物玩法方案、红包玩法风控梳理；风控/财务侧补齐主播小号防控、设备/IP/公会处罚、预支/借支官方扣除等PRD。整体能主动承接复杂需求，将模糊问题拆成可评审、可开发、可测试的规则，后续需要继续加强上线后数据复盘和效果验证。</x:v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 ht="28" customHeight="1">
      <x:c r="A14" s="33" t="s">
        <x:v>41</x:v>
      </x:c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 ht="71.25" customHeight="1">
      <x:c r="A15" s="33" t="str">
        <x:v>下月重点工作计划：1. 推动三方休闲游戏进入开发/联调/灰度，重点跟进H5加载、扣费结算、退款补偿、最小化恢复和埋点看板；2. 跟进幸运礼物/红包玩法的风控阈值确认、后台配置与成本模型，确保合规和平台成本可控；3. 配合研发、测试、运营完成风控与结算类需求评审、用例验收和上线复盘；4. 灰度后输出数据分析和下一轮优化建议。</x:v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 ht="28" customHeight="1">
      <x:c r="A16" s="24" t="s">
        <x:v>42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</x:row>
    <x:row r="17" ht="27" customHeight="1">
      <x:c r="A17" s="25" t="s">
        <x:v>43</x:v>
      </x:c>
      <x:c r="B17" s="25"/>
      <x:c r="C17" s="25"/>
      <x:c r="D17" s="28" t="s">
        <x:v>44</x:v>
      </x:c>
      <x:c r="E17" s="29" t="s">
        <x:v>45</x:v>
      </x:c>
      <x:c r="F17" s="30"/>
      <x:c r="G17" s="29" t="s">
        <x:v>46</x:v>
      </x:c>
      <x:c r="H17" s="31"/>
      <x:c r="I17" s="31"/>
      <x:c r="J17" s="31"/>
      <x:c r="K17" s="31"/>
    </x:row>
    <x:row r="18" ht="27" customHeight="1">
      <x:c r="A18" s="25" t="s">
        <x:v>47</x:v>
      </x:c>
      <x:c r="B18" s="25"/>
      <x:c r="C18" s="25"/>
      <x:c r="D18" s="28" t="s">
        <x:v>47</x:v>
      </x:c>
      <x:c r="E18" s="29" t="s">
        <x:v>47</x:v>
      </x:c>
      <x:c r="F18" s="30"/>
      <x:c r="G18" s="29" t="s">
        <x:v>48</x:v>
      </x:c>
      <x:c r="H18" s="31"/>
      <x:c r="I18" s="31"/>
      <x:c r="J18" s="31"/>
      <x:c r="K18" s="31"/>
    </x:row>
  </x:sheetData>
  <x:mergeCells>
    <x:mergeCell ref="A1:K1"/>
    <x:mergeCell ref="A2:K2"/>
    <x:mergeCell ref="A10:B10"/>
    <x:mergeCell ref="A11:K11"/>
    <x:mergeCell ref="A12:K12"/>
    <x:mergeCell ref="A13:K13"/>
    <x:mergeCell ref="A14:K14"/>
    <x:mergeCell ref="A15:K15"/>
    <x:mergeCell ref="A16:K16"/>
    <x:mergeCell ref="A17:C17"/>
    <x:mergeCell ref="E17:F17"/>
    <x:mergeCell ref="G17:K17"/>
    <x:mergeCell ref="A18:C18"/>
    <x:mergeCell ref="E18:F18"/>
    <x:mergeCell ref="G18:K18"/>
    <x:mergeCell ref="A4:A5"/>
    <x:mergeCell ref="A6:A9"/>
  </x:mergeCells>
  <x:pageMargins left="0.7" right="0.7" top="0.75" bottom="0.75" header="0.3" footer="0.3"/>
</x:worksheet>
</file>