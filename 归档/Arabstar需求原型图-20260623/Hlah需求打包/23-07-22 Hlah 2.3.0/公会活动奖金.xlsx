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3-07-22 Aria 1.0.0 和 Hlah 2.3.0/"/>
    </mc:Choice>
  </mc:AlternateContent>
  <xr:revisionPtr revIDLastSave="0" documentId="13_ncr:1_{6FBFBDB5-CF2F-1A4F-84D2-BB3000A490F3}" xr6:coauthVersionLast="47" xr6:coauthVersionMax="47" xr10:uidLastSave="{00000000-0000-0000-0000-000000000000}"/>
  <bookViews>
    <workbookView xWindow="0" yWindow="760" windowWidth="34560" windowHeight="21580" xr2:uid="{CFC48233-E695-7D48-BD6B-22C6927953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2" i="1"/>
  <c r="Q28" i="1"/>
  <c r="Q29" i="1"/>
  <c r="Q30" i="1"/>
  <c r="Q31" i="1"/>
  <c r="Q32" i="1"/>
  <c r="Q33" i="1"/>
  <c r="Q34" i="1"/>
  <c r="Q35" i="1"/>
  <c r="Q36" i="1"/>
  <c r="Q27" i="1"/>
  <c r="U36" i="1"/>
  <c r="K36" i="1"/>
  <c r="L36" i="1" s="1"/>
  <c r="H36" i="1"/>
  <c r="U35" i="1"/>
  <c r="K35" i="1"/>
  <c r="N35" i="1" s="1"/>
  <c r="H35" i="1"/>
  <c r="U34" i="1"/>
  <c r="N34" i="1"/>
  <c r="M34" i="1"/>
  <c r="L34" i="1"/>
  <c r="O34" i="1" s="1"/>
  <c r="K34" i="1"/>
  <c r="H34" i="1"/>
  <c r="U33" i="1"/>
  <c r="K33" i="1"/>
  <c r="N33" i="1" s="1"/>
  <c r="H33" i="1"/>
  <c r="U32" i="1"/>
  <c r="K32" i="1"/>
  <c r="M32" i="1" s="1"/>
  <c r="H32" i="1"/>
  <c r="U31" i="1"/>
  <c r="N31" i="1"/>
  <c r="K31" i="1"/>
  <c r="M31" i="1" s="1"/>
  <c r="H31" i="1"/>
  <c r="U30" i="1"/>
  <c r="K30" i="1"/>
  <c r="N30" i="1" s="1"/>
  <c r="H30" i="1"/>
  <c r="U29" i="1"/>
  <c r="K29" i="1"/>
  <c r="L29" i="1" s="1"/>
  <c r="H29" i="1"/>
  <c r="U28" i="1"/>
  <c r="K28" i="1"/>
  <c r="N28" i="1" s="1"/>
  <c r="H28" i="1"/>
  <c r="U27" i="1"/>
  <c r="N27" i="1"/>
  <c r="M27" i="1"/>
  <c r="L27" i="1"/>
  <c r="O27" i="1" s="1"/>
  <c r="K27" i="1"/>
  <c r="H27" i="1"/>
  <c r="H26" i="1"/>
  <c r="H25" i="1"/>
  <c r="H24" i="1"/>
  <c r="H23" i="1"/>
  <c r="H22" i="1"/>
  <c r="Y8" i="1"/>
  <c r="Y9" i="1"/>
  <c r="Y10" i="1"/>
  <c r="Y11" i="1"/>
  <c r="Y12" i="1"/>
  <c r="Y13" i="1"/>
  <c r="Y14" i="1"/>
  <c r="Y15" i="1"/>
  <c r="Y16" i="1"/>
  <c r="Y7" i="1"/>
  <c r="U8" i="1"/>
  <c r="U9" i="1"/>
  <c r="U10" i="1"/>
  <c r="U11" i="1"/>
  <c r="U12" i="1"/>
  <c r="U13" i="1"/>
  <c r="U14" i="1"/>
  <c r="U15" i="1"/>
  <c r="U16" i="1"/>
  <c r="U7" i="1"/>
  <c r="Q8" i="1"/>
  <c r="Q9" i="1"/>
  <c r="Q10" i="1"/>
  <c r="Q11" i="1"/>
  <c r="Q12" i="1"/>
  <c r="Q13" i="1"/>
  <c r="Q14" i="1"/>
  <c r="Q15" i="1"/>
  <c r="Q16" i="1"/>
  <c r="Q7" i="1"/>
  <c r="N14" i="1"/>
  <c r="M16" i="1"/>
  <c r="M15" i="1"/>
  <c r="O15" i="1" s="1"/>
  <c r="R15" i="1" s="1"/>
  <c r="L16" i="1"/>
  <c r="O16" i="1" s="1"/>
  <c r="R16" i="1" s="1"/>
  <c r="L15" i="1"/>
  <c r="L14" i="1"/>
  <c r="L13" i="1"/>
  <c r="L12" i="1"/>
  <c r="K16" i="1"/>
  <c r="N16" i="1" s="1"/>
  <c r="K15" i="1"/>
  <c r="N15" i="1" s="1"/>
  <c r="K14" i="1"/>
  <c r="M14" i="1" s="1"/>
  <c r="O14" i="1" s="1"/>
  <c r="R14" i="1" s="1"/>
  <c r="K13" i="1"/>
  <c r="M13" i="1" s="1"/>
  <c r="K12" i="1"/>
  <c r="M12" i="1" s="1"/>
  <c r="K11" i="1"/>
  <c r="M11" i="1" s="1"/>
  <c r="K10" i="1"/>
  <c r="L10" i="1" s="1"/>
  <c r="K9" i="1"/>
  <c r="M9" i="1" s="1"/>
  <c r="K8" i="1"/>
  <c r="L8" i="1" s="1"/>
  <c r="K7" i="1"/>
  <c r="N7" i="1" s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R27" i="1" l="1"/>
  <c r="Y27" i="1"/>
  <c r="R34" i="1"/>
  <c r="Y34" i="1"/>
  <c r="L30" i="1"/>
  <c r="M30" i="1"/>
  <c r="M29" i="1"/>
  <c r="O29" i="1" s="1"/>
  <c r="M36" i="1"/>
  <c r="O36" i="1" s="1"/>
  <c r="N29" i="1"/>
  <c r="N36" i="1"/>
  <c r="L28" i="1"/>
  <c r="O28" i="1" s="1"/>
  <c r="N32" i="1"/>
  <c r="L35" i="1"/>
  <c r="L32" i="1"/>
  <c r="M28" i="1"/>
  <c r="M35" i="1"/>
  <c r="M33" i="1"/>
  <c r="L31" i="1"/>
  <c r="O31" i="1" s="1"/>
  <c r="L33" i="1"/>
  <c r="O33" i="1" s="1"/>
  <c r="M7" i="1"/>
  <c r="N11" i="1"/>
  <c r="M8" i="1"/>
  <c r="O8" i="1" s="1"/>
  <c r="R8" i="1" s="1"/>
  <c r="N12" i="1"/>
  <c r="O12" i="1" s="1"/>
  <c r="R12" i="1" s="1"/>
  <c r="L11" i="1"/>
  <c r="O11" i="1" s="1"/>
  <c r="R11" i="1" s="1"/>
  <c r="N9" i="1"/>
  <c r="N10" i="1"/>
  <c r="L7" i="1"/>
  <c r="O7" i="1" s="1"/>
  <c r="R7" i="1" s="1"/>
  <c r="L9" i="1"/>
  <c r="O9" i="1" s="1"/>
  <c r="R9" i="1" s="1"/>
  <c r="N13" i="1"/>
  <c r="O13" i="1" s="1"/>
  <c r="R13" i="1" s="1"/>
  <c r="N8" i="1"/>
  <c r="M10" i="1"/>
  <c r="O10" i="1" s="1"/>
  <c r="R10" i="1" s="1"/>
  <c r="Y36" i="1" l="1"/>
  <c r="R36" i="1"/>
  <c r="Y29" i="1"/>
  <c r="R29" i="1"/>
  <c r="Y28" i="1"/>
  <c r="R28" i="1"/>
  <c r="Y33" i="1"/>
  <c r="R33" i="1"/>
  <c r="O30" i="1"/>
  <c r="R31" i="1"/>
  <c r="Y31" i="1"/>
  <c r="O32" i="1"/>
  <c r="O35" i="1"/>
  <c r="Y35" i="1" l="1"/>
  <c r="R35" i="1"/>
  <c r="Y30" i="1"/>
  <c r="R30" i="1"/>
  <c r="R32" i="1"/>
  <c r="Y32" i="1"/>
</calcChain>
</file>

<file path=xl/sharedStrings.xml><?xml version="1.0" encoding="utf-8"?>
<sst xmlns="http://schemas.openxmlformats.org/spreadsheetml/2006/main" count="20" uniqueCount="19">
  <si>
    <t>等级</t>
    <phoneticPr fontId="1" type="noConversion"/>
  </si>
  <si>
    <t>天数</t>
    <phoneticPr fontId="1" type="noConversion"/>
  </si>
  <si>
    <t>小时</t>
    <phoneticPr fontId="1" type="noConversion"/>
  </si>
  <si>
    <t>目标金币</t>
    <phoneticPr fontId="1" type="noConversion"/>
  </si>
  <si>
    <t>目标钻石</t>
    <phoneticPr fontId="1" type="noConversion"/>
  </si>
  <si>
    <t>冻结金币结算美元收益</t>
    <phoneticPr fontId="1" type="noConversion"/>
  </si>
  <si>
    <t>钻石结算美元收益</t>
    <phoneticPr fontId="1" type="noConversion"/>
  </si>
  <si>
    <t>主播总收益</t>
    <phoneticPr fontId="1" type="noConversion"/>
  </si>
  <si>
    <t>代理总收益</t>
    <phoneticPr fontId="1" type="noConversion"/>
  </si>
  <si>
    <t>比例</t>
    <phoneticPr fontId="1" type="noConversion"/>
  </si>
  <si>
    <t>对应比例</t>
    <phoneticPr fontId="1" type="noConversion"/>
  </si>
  <si>
    <t>照比例应获黄金美元</t>
    <phoneticPr fontId="1" type="noConversion"/>
  </si>
  <si>
    <t>照比例应获钻石美元</t>
    <phoneticPr fontId="1" type="noConversion"/>
  </si>
  <si>
    <t>照比例应获代理美元</t>
    <phoneticPr fontId="1" type="noConversion"/>
  </si>
  <si>
    <t>可补贴差额</t>
    <phoneticPr fontId="1" type="noConversion"/>
  </si>
  <si>
    <t>保底</t>
    <phoneticPr fontId="1" type="noConversion"/>
  </si>
  <si>
    <t>保底金额</t>
    <phoneticPr fontId="1" type="noConversion"/>
  </si>
  <si>
    <t>预估单个补贴</t>
    <phoneticPr fontId="1" type="noConversion"/>
  </si>
  <si>
    <t>实际单个补贴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</si>
</sst>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E960-9308-B443-B12D-ECEB06FF62DA}">
  <dimension ref="A1:Y37"/>
  <sheetViews>
    <sheetView tabSelected="1" zoomScale="150" workbookViewId="0">
      <selection activeCell="J24" sqref="J24"/>
    </sheetView>
  </sheetViews>
  <sheetFormatPr baseColWidth="10" defaultRowHeight="16"/>
  <sheetData>
    <row r="1" spans="1:25" ht="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 t="s">
        <v>9</v>
      </c>
      <c r="R1" s="2" t="s">
        <v>17</v>
      </c>
      <c r="S1" s="3" t="s">
        <v>18</v>
      </c>
      <c r="T1" t="s">
        <v>15</v>
      </c>
      <c r="U1" t="s">
        <v>16</v>
      </c>
      <c r="W1" t="s">
        <v>0</v>
      </c>
    </row>
    <row r="2" spans="1:25">
      <c r="A2" s="1">
        <v>1</v>
      </c>
      <c r="B2" s="1">
        <v>15</v>
      </c>
      <c r="C2" s="1">
        <v>20</v>
      </c>
      <c r="D2" s="1">
        <v>20000</v>
      </c>
      <c r="E2" s="1">
        <v>6000</v>
      </c>
      <c r="F2" s="1">
        <v>7</v>
      </c>
      <c r="G2" s="1">
        <v>6</v>
      </c>
      <c r="H2" s="1">
        <f>F2+G2</f>
        <v>13</v>
      </c>
      <c r="I2" s="1">
        <v>4</v>
      </c>
    </row>
    <row r="3" spans="1:25">
      <c r="A3" s="1">
        <v>2</v>
      </c>
      <c r="B3" s="1">
        <v>15</v>
      </c>
      <c r="C3" s="1">
        <v>20</v>
      </c>
      <c r="D3" s="1">
        <v>40000</v>
      </c>
      <c r="E3" s="1">
        <v>12000</v>
      </c>
      <c r="F3" s="1">
        <v>19</v>
      </c>
      <c r="G3" s="1">
        <v>10</v>
      </c>
      <c r="H3" s="1">
        <f t="shared" ref="H3:H16" si="0">F3+G3</f>
        <v>29</v>
      </c>
      <c r="I3" s="1">
        <v>8</v>
      </c>
    </row>
    <row r="4" spans="1:25">
      <c r="A4" s="1">
        <v>3</v>
      </c>
      <c r="B4" s="1">
        <v>15</v>
      </c>
      <c r="C4" s="1">
        <v>20</v>
      </c>
      <c r="D4" s="1">
        <v>80000</v>
      </c>
      <c r="E4" s="1">
        <v>24000</v>
      </c>
      <c r="F4" s="1">
        <v>37</v>
      </c>
      <c r="G4" s="1">
        <v>20</v>
      </c>
      <c r="H4" s="1">
        <f t="shared" si="0"/>
        <v>57</v>
      </c>
      <c r="I4" s="1">
        <v>18</v>
      </c>
    </row>
    <row r="5" spans="1:25">
      <c r="A5" s="1">
        <v>4</v>
      </c>
      <c r="B5" s="1">
        <v>15</v>
      </c>
      <c r="C5" s="1">
        <v>20</v>
      </c>
      <c r="D5" s="1">
        <v>126000</v>
      </c>
      <c r="E5" s="1">
        <v>37800</v>
      </c>
      <c r="F5" s="1">
        <v>60</v>
      </c>
      <c r="G5" s="1">
        <v>32</v>
      </c>
      <c r="H5" s="1">
        <f t="shared" si="0"/>
        <v>92</v>
      </c>
      <c r="I5" s="1">
        <v>29</v>
      </c>
    </row>
    <row r="6" spans="1:25">
      <c r="A6" s="1">
        <v>5</v>
      </c>
      <c r="B6" s="1">
        <v>15</v>
      </c>
      <c r="C6" s="1">
        <v>20</v>
      </c>
      <c r="D6" s="1">
        <v>220000</v>
      </c>
      <c r="E6" s="1">
        <v>66000</v>
      </c>
      <c r="F6" s="1">
        <v>85</v>
      </c>
      <c r="G6" s="1">
        <v>65</v>
      </c>
      <c r="H6" s="1">
        <f t="shared" si="0"/>
        <v>150</v>
      </c>
      <c r="I6" s="1">
        <v>40</v>
      </c>
    </row>
    <row r="7" spans="1:25">
      <c r="A7" s="1">
        <v>6</v>
      </c>
      <c r="B7" s="1">
        <v>10</v>
      </c>
      <c r="C7" s="1">
        <v>15</v>
      </c>
      <c r="D7" s="1">
        <v>320000</v>
      </c>
      <c r="E7" s="1">
        <v>96000</v>
      </c>
      <c r="F7" s="1">
        <v>130</v>
      </c>
      <c r="G7" s="1">
        <v>86</v>
      </c>
      <c r="H7" s="1">
        <f t="shared" si="0"/>
        <v>216</v>
      </c>
      <c r="I7" s="1">
        <v>56</v>
      </c>
      <c r="K7">
        <f>D7/D4</f>
        <v>4</v>
      </c>
      <c r="L7">
        <f>F4*K7</f>
        <v>148</v>
      </c>
      <c r="M7">
        <f>G4*K7</f>
        <v>80</v>
      </c>
      <c r="N7">
        <f>I4*K7</f>
        <v>72</v>
      </c>
      <c r="O7">
        <f>L7+M7+N7-H7-I7</f>
        <v>28</v>
      </c>
      <c r="Q7">
        <f>25/28</f>
        <v>0.8928571428571429</v>
      </c>
      <c r="R7">
        <f>O7*Q7</f>
        <v>25</v>
      </c>
      <c r="S7">
        <v>25</v>
      </c>
      <c r="T7">
        <v>4</v>
      </c>
      <c r="U7">
        <f>T7*S7*105%</f>
        <v>105</v>
      </c>
      <c r="W7">
        <v>6</v>
      </c>
      <c r="Y7">
        <f>S7/O7</f>
        <v>0.8928571428571429</v>
      </c>
    </row>
    <row r="8" spans="1:25">
      <c r="A8" s="1">
        <v>7</v>
      </c>
      <c r="B8" s="1">
        <v>10</v>
      </c>
      <c r="C8" s="1">
        <v>15</v>
      </c>
      <c r="D8" s="1">
        <v>460000</v>
      </c>
      <c r="E8" s="1">
        <v>138000</v>
      </c>
      <c r="F8" s="1">
        <v>175</v>
      </c>
      <c r="G8" s="1">
        <v>115</v>
      </c>
      <c r="H8" s="1">
        <f t="shared" si="0"/>
        <v>290</v>
      </c>
      <c r="I8" s="1">
        <v>74</v>
      </c>
      <c r="K8">
        <f>D8/D4</f>
        <v>5.75</v>
      </c>
      <c r="L8">
        <f>F4*K8</f>
        <v>212.75</v>
      </c>
      <c r="M8">
        <f>G4*K8</f>
        <v>115</v>
      </c>
      <c r="N8">
        <f>I4*K8</f>
        <v>103.5</v>
      </c>
      <c r="O8">
        <f>L8+M8+N8-H8-I8</f>
        <v>67.25</v>
      </c>
      <c r="Q8">
        <f t="shared" ref="Q8:Q16" si="1">25/28</f>
        <v>0.8928571428571429</v>
      </c>
      <c r="R8">
        <f t="shared" ref="R8:R16" si="2">O8*Q8</f>
        <v>60.044642857142861</v>
      </c>
      <c r="S8">
        <v>61</v>
      </c>
      <c r="T8">
        <v>4</v>
      </c>
      <c r="U8">
        <f t="shared" ref="U8:U16" si="3">T8*S8*105%</f>
        <v>256.2</v>
      </c>
      <c r="W8">
        <v>7</v>
      </c>
      <c r="Y8">
        <f t="shared" ref="Y8:Y16" si="4">S8/O8</f>
        <v>0.90706319702602234</v>
      </c>
    </row>
    <row r="9" spans="1:25">
      <c r="A9" s="1">
        <v>8</v>
      </c>
      <c r="B9" s="1">
        <v>10</v>
      </c>
      <c r="C9" s="1">
        <v>15</v>
      </c>
      <c r="D9" s="1">
        <v>580000</v>
      </c>
      <c r="E9" s="1">
        <v>174000</v>
      </c>
      <c r="F9" s="1">
        <v>210</v>
      </c>
      <c r="G9" s="1">
        <v>150</v>
      </c>
      <c r="H9" s="1">
        <f t="shared" si="0"/>
        <v>360</v>
      </c>
      <c r="I9" s="1">
        <v>92</v>
      </c>
      <c r="K9">
        <f>D9/D4</f>
        <v>7.25</v>
      </c>
      <c r="L9">
        <f>F4*K9</f>
        <v>268.25</v>
      </c>
      <c r="M9">
        <f>G4*K9</f>
        <v>145</v>
      </c>
      <c r="N9">
        <f>I4*K9</f>
        <v>130.5</v>
      </c>
      <c r="O9">
        <f t="shared" ref="O9:O16" si="5">L9+M9+N9-H9-I9</f>
        <v>91.75</v>
      </c>
      <c r="Q9">
        <f t="shared" si="1"/>
        <v>0.8928571428571429</v>
      </c>
      <c r="R9">
        <f t="shared" si="2"/>
        <v>81.919642857142861</v>
      </c>
      <c r="S9">
        <v>84</v>
      </c>
      <c r="T9">
        <v>0</v>
      </c>
      <c r="U9">
        <f t="shared" si="3"/>
        <v>0</v>
      </c>
      <c r="W9">
        <v>8</v>
      </c>
      <c r="Y9">
        <f t="shared" si="4"/>
        <v>0.91553133514986373</v>
      </c>
    </row>
    <row r="10" spans="1:25">
      <c r="A10" s="1">
        <v>9</v>
      </c>
      <c r="B10" s="1">
        <v>8</v>
      </c>
      <c r="C10" s="1">
        <v>12</v>
      </c>
      <c r="D10" s="1">
        <v>850000</v>
      </c>
      <c r="E10" s="1">
        <v>225000</v>
      </c>
      <c r="F10" s="1">
        <v>310</v>
      </c>
      <c r="G10" s="1">
        <v>230</v>
      </c>
      <c r="H10" s="1">
        <f t="shared" si="0"/>
        <v>540</v>
      </c>
      <c r="I10" s="1">
        <v>125</v>
      </c>
      <c r="K10">
        <f>D10/D4</f>
        <v>10.625</v>
      </c>
      <c r="L10">
        <f>F4*K10</f>
        <v>393.125</v>
      </c>
      <c r="M10">
        <f>G4*K10</f>
        <v>212.5</v>
      </c>
      <c r="N10">
        <f>I4*K10</f>
        <v>191.25</v>
      </c>
      <c r="O10">
        <f t="shared" si="5"/>
        <v>131.875</v>
      </c>
      <c r="Q10">
        <f t="shared" si="1"/>
        <v>0.8928571428571429</v>
      </c>
      <c r="R10">
        <f t="shared" si="2"/>
        <v>117.74553571428572</v>
      </c>
      <c r="S10">
        <v>121</v>
      </c>
      <c r="T10">
        <v>0</v>
      </c>
      <c r="U10">
        <f t="shared" si="3"/>
        <v>0</v>
      </c>
      <c r="W10">
        <v>9</v>
      </c>
      <c r="Y10">
        <f t="shared" si="4"/>
        <v>0.91753554502369672</v>
      </c>
    </row>
    <row r="11" spans="1:25">
      <c r="A11" s="1">
        <v>10</v>
      </c>
      <c r="B11" s="1">
        <v>8</v>
      </c>
      <c r="C11" s="1">
        <v>12</v>
      </c>
      <c r="D11" s="1">
        <v>1250000</v>
      </c>
      <c r="E11" s="1">
        <v>375000</v>
      </c>
      <c r="F11" s="1">
        <v>420</v>
      </c>
      <c r="G11" s="1">
        <v>348</v>
      </c>
      <c r="H11" s="1">
        <f t="shared" si="0"/>
        <v>768</v>
      </c>
      <c r="I11" s="1">
        <v>180</v>
      </c>
      <c r="K11">
        <f>D11/D4</f>
        <v>15.625</v>
      </c>
      <c r="L11">
        <f>F4*K11</f>
        <v>578.125</v>
      </c>
      <c r="M11">
        <f>G4*K11</f>
        <v>312.5</v>
      </c>
      <c r="N11">
        <f>I4*K11</f>
        <v>281.25</v>
      </c>
      <c r="O11">
        <f t="shared" si="5"/>
        <v>223.875</v>
      </c>
      <c r="Q11">
        <f t="shared" si="1"/>
        <v>0.8928571428571429</v>
      </c>
      <c r="R11">
        <f t="shared" si="2"/>
        <v>199.88839285714286</v>
      </c>
      <c r="S11">
        <v>206</v>
      </c>
      <c r="T11">
        <v>0</v>
      </c>
      <c r="U11">
        <f t="shared" si="3"/>
        <v>0</v>
      </c>
      <c r="W11">
        <v>10</v>
      </c>
      <c r="Y11">
        <f t="shared" si="4"/>
        <v>0.92015633724176438</v>
      </c>
    </row>
    <row r="12" spans="1:25">
      <c r="A12" s="1">
        <v>11</v>
      </c>
      <c r="B12" s="1">
        <v>8</v>
      </c>
      <c r="C12" s="1">
        <v>12</v>
      </c>
      <c r="D12" s="1">
        <v>1850000</v>
      </c>
      <c r="E12" s="1">
        <v>555000</v>
      </c>
      <c r="F12" s="1">
        <v>560</v>
      </c>
      <c r="G12" s="1">
        <v>560</v>
      </c>
      <c r="H12" s="1">
        <f t="shared" si="0"/>
        <v>1120</v>
      </c>
      <c r="I12" s="1">
        <v>260</v>
      </c>
      <c r="K12">
        <f>D12/D4</f>
        <v>23.125</v>
      </c>
      <c r="L12">
        <f>F4*K12</f>
        <v>855.625</v>
      </c>
      <c r="M12">
        <f>G4*K12</f>
        <v>462.5</v>
      </c>
      <c r="N12">
        <f>I4*K12</f>
        <v>416.25</v>
      </c>
      <c r="O12">
        <f t="shared" si="5"/>
        <v>354.375</v>
      </c>
      <c r="Q12">
        <f t="shared" si="1"/>
        <v>0.8928571428571429</v>
      </c>
      <c r="R12">
        <f t="shared" si="2"/>
        <v>316.40625</v>
      </c>
      <c r="S12">
        <v>327</v>
      </c>
      <c r="T12">
        <v>0</v>
      </c>
      <c r="U12">
        <f t="shared" si="3"/>
        <v>0</v>
      </c>
      <c r="W12">
        <v>11</v>
      </c>
      <c r="Y12">
        <f t="shared" si="4"/>
        <v>0.92275132275132277</v>
      </c>
    </row>
    <row r="13" spans="1:25">
      <c r="A13" s="1">
        <v>12</v>
      </c>
      <c r="B13" s="1">
        <v>0</v>
      </c>
      <c r="C13" s="1">
        <v>0</v>
      </c>
      <c r="D13" s="1">
        <v>3500000</v>
      </c>
      <c r="E13" s="1">
        <v>1050000</v>
      </c>
      <c r="F13" s="1">
        <v>850</v>
      </c>
      <c r="G13" s="1">
        <v>1300</v>
      </c>
      <c r="H13" s="1">
        <f t="shared" si="0"/>
        <v>2150</v>
      </c>
      <c r="I13" s="1">
        <v>450</v>
      </c>
      <c r="K13">
        <f>D13/D4</f>
        <v>43.75</v>
      </c>
      <c r="L13">
        <f>F4*K13</f>
        <v>1618.75</v>
      </c>
      <c r="M13">
        <f>G4*K13</f>
        <v>875</v>
      </c>
      <c r="N13">
        <f>I4*K13</f>
        <v>787.5</v>
      </c>
      <c r="O13">
        <f t="shared" si="5"/>
        <v>681.25</v>
      </c>
      <c r="Q13">
        <f t="shared" si="1"/>
        <v>0.8928571428571429</v>
      </c>
      <c r="R13">
        <f t="shared" si="2"/>
        <v>608.25892857142856</v>
      </c>
      <c r="S13">
        <v>630</v>
      </c>
      <c r="T13">
        <v>0</v>
      </c>
      <c r="U13">
        <f t="shared" si="3"/>
        <v>0</v>
      </c>
      <c r="W13">
        <v>12</v>
      </c>
      <c r="Y13">
        <f t="shared" si="4"/>
        <v>0.92477064220183491</v>
      </c>
    </row>
    <row r="14" spans="1:25">
      <c r="A14" s="1">
        <v>13</v>
      </c>
      <c r="B14" s="1">
        <v>0</v>
      </c>
      <c r="C14" s="1">
        <v>0</v>
      </c>
      <c r="D14" s="1">
        <v>5250000</v>
      </c>
      <c r="E14" s="1">
        <v>1575000</v>
      </c>
      <c r="F14" s="1">
        <v>1450</v>
      </c>
      <c r="G14" s="1">
        <v>1650</v>
      </c>
      <c r="H14" s="1">
        <f t="shared" si="0"/>
        <v>3100</v>
      </c>
      <c r="I14" s="1">
        <v>700</v>
      </c>
      <c r="K14">
        <f>D14/D4</f>
        <v>65.625</v>
      </c>
      <c r="L14">
        <f>F4*K14</f>
        <v>2428.125</v>
      </c>
      <c r="M14">
        <f>G4*K14</f>
        <v>1312.5</v>
      </c>
      <c r="N14">
        <f>I4*K14</f>
        <v>1181.25</v>
      </c>
      <c r="O14">
        <f t="shared" si="5"/>
        <v>1121.875</v>
      </c>
      <c r="Q14">
        <f t="shared" si="1"/>
        <v>0.8928571428571429</v>
      </c>
      <c r="R14">
        <f t="shared" si="2"/>
        <v>1001.6741071428572</v>
      </c>
      <c r="S14">
        <v>1040</v>
      </c>
      <c r="T14">
        <v>0</v>
      </c>
      <c r="U14">
        <f t="shared" si="3"/>
        <v>0</v>
      </c>
      <c r="W14">
        <v>13</v>
      </c>
      <c r="Y14">
        <f t="shared" si="4"/>
        <v>0.92701949860724231</v>
      </c>
    </row>
    <row r="15" spans="1:25">
      <c r="A15" s="1">
        <v>14</v>
      </c>
      <c r="B15" s="1">
        <v>0</v>
      </c>
      <c r="C15" s="1">
        <v>0</v>
      </c>
      <c r="D15" s="1">
        <v>7000000</v>
      </c>
      <c r="E15" s="1">
        <v>2100000</v>
      </c>
      <c r="F15" s="1">
        <v>1600</v>
      </c>
      <c r="G15" s="1">
        <v>2500</v>
      </c>
      <c r="H15" s="1">
        <f t="shared" si="0"/>
        <v>4100</v>
      </c>
      <c r="I15" s="1">
        <v>900</v>
      </c>
      <c r="K15">
        <f>D15/D4</f>
        <v>87.5</v>
      </c>
      <c r="L15">
        <f>F4*K15</f>
        <v>3237.5</v>
      </c>
      <c r="M15">
        <f>G4*K15</f>
        <v>1750</v>
      </c>
      <c r="N15">
        <f>I4*K15</f>
        <v>1575</v>
      </c>
      <c r="O15">
        <f t="shared" si="5"/>
        <v>1562.5</v>
      </c>
      <c r="Q15">
        <f t="shared" si="1"/>
        <v>0.8928571428571429</v>
      </c>
      <c r="R15">
        <f t="shared" si="2"/>
        <v>1395.0892857142858</v>
      </c>
      <c r="S15">
        <v>1450</v>
      </c>
      <c r="T15">
        <v>0</v>
      </c>
      <c r="U15">
        <f t="shared" si="3"/>
        <v>0</v>
      </c>
      <c r="W15">
        <v>14</v>
      </c>
      <c r="Y15">
        <f t="shared" si="4"/>
        <v>0.92800000000000005</v>
      </c>
    </row>
    <row r="16" spans="1:25">
      <c r="A16" s="1">
        <v>15</v>
      </c>
      <c r="B16" s="1">
        <v>0</v>
      </c>
      <c r="C16" s="1">
        <v>0</v>
      </c>
      <c r="D16" s="1">
        <v>10500000</v>
      </c>
      <c r="E16" s="1">
        <v>3150000</v>
      </c>
      <c r="F16" s="1">
        <v>2500</v>
      </c>
      <c r="G16" s="1">
        <v>3600</v>
      </c>
      <c r="H16" s="1">
        <f t="shared" si="0"/>
        <v>6100</v>
      </c>
      <c r="I16" s="1">
        <v>1400</v>
      </c>
      <c r="K16">
        <f>D16/D4</f>
        <v>131.25</v>
      </c>
      <c r="L16">
        <f>F4*K16</f>
        <v>4856.25</v>
      </c>
      <c r="M16">
        <f>G4*K16</f>
        <v>2625</v>
      </c>
      <c r="N16">
        <f>I4*K16</f>
        <v>2362.5</v>
      </c>
      <c r="O16">
        <f t="shared" si="5"/>
        <v>2343.75</v>
      </c>
      <c r="Q16">
        <f t="shared" si="1"/>
        <v>0.8928571428571429</v>
      </c>
      <c r="R16">
        <f t="shared" si="2"/>
        <v>2092.6339285714289</v>
      </c>
      <c r="S16">
        <v>2200</v>
      </c>
      <c r="T16">
        <v>0</v>
      </c>
      <c r="U16">
        <f t="shared" si="3"/>
        <v>0</v>
      </c>
      <c r="W16">
        <v>15</v>
      </c>
      <c r="Y16">
        <f t="shared" si="4"/>
        <v>0.93866666666666665</v>
      </c>
    </row>
    <row r="22" spans="1:25">
      <c r="A22" s="1">
        <v>1</v>
      </c>
      <c r="B22" s="1">
        <v>15</v>
      </c>
      <c r="C22" s="1">
        <v>20</v>
      </c>
      <c r="D22" s="1">
        <v>20000</v>
      </c>
      <c r="E22" s="1">
        <v>6000</v>
      </c>
      <c r="F22" s="1">
        <v>7</v>
      </c>
      <c r="G22" s="1">
        <v>6</v>
      </c>
      <c r="H22" s="1">
        <f>F22+G22</f>
        <v>13</v>
      </c>
      <c r="I22" s="1">
        <v>4</v>
      </c>
      <c r="J22">
        <f>F22+I22</f>
        <v>11</v>
      </c>
    </row>
    <row r="23" spans="1:25">
      <c r="A23" s="1">
        <v>2</v>
      </c>
      <c r="B23" s="1">
        <v>15</v>
      </c>
      <c r="C23" s="1">
        <v>20</v>
      </c>
      <c r="D23" s="1">
        <v>40000</v>
      </c>
      <c r="E23" s="1">
        <v>12000</v>
      </c>
      <c r="F23" s="1">
        <v>19</v>
      </c>
      <c r="G23" s="1">
        <v>10</v>
      </c>
      <c r="H23" s="1">
        <f t="shared" ref="H23:H36" si="6">F23+G23</f>
        <v>29</v>
      </c>
      <c r="I23" s="1">
        <v>8</v>
      </c>
      <c r="J23">
        <f t="shared" ref="J23:J36" si="7">F23+I23</f>
        <v>27</v>
      </c>
    </row>
    <row r="24" spans="1:25">
      <c r="A24" s="1">
        <v>3</v>
      </c>
      <c r="B24" s="1">
        <v>15</v>
      </c>
      <c r="C24" s="1">
        <v>20</v>
      </c>
      <c r="D24" s="1">
        <v>80000</v>
      </c>
      <c r="E24" s="1">
        <v>24000</v>
      </c>
      <c r="F24" s="1">
        <v>37</v>
      </c>
      <c r="G24" s="1">
        <v>20</v>
      </c>
      <c r="H24" s="1">
        <f t="shared" si="6"/>
        <v>57</v>
      </c>
      <c r="I24" s="1">
        <v>18</v>
      </c>
      <c r="J24">
        <f t="shared" si="7"/>
        <v>55</v>
      </c>
    </row>
    <row r="25" spans="1:25">
      <c r="A25" s="1">
        <v>4</v>
      </c>
      <c r="B25" s="1">
        <v>15</v>
      </c>
      <c r="C25" s="1">
        <v>20</v>
      </c>
      <c r="D25" s="1">
        <v>126000</v>
      </c>
      <c r="E25" s="1">
        <v>37800</v>
      </c>
      <c r="F25" s="1">
        <v>60</v>
      </c>
      <c r="G25" s="1">
        <v>32</v>
      </c>
      <c r="H25" s="1">
        <f t="shared" si="6"/>
        <v>92</v>
      </c>
      <c r="I25" s="1">
        <v>29</v>
      </c>
      <c r="J25">
        <f t="shared" si="7"/>
        <v>89</v>
      </c>
    </row>
    <row r="26" spans="1:25">
      <c r="A26" s="1">
        <v>5</v>
      </c>
      <c r="B26" s="1">
        <v>15</v>
      </c>
      <c r="C26" s="1">
        <v>20</v>
      </c>
      <c r="D26" s="1">
        <v>220000</v>
      </c>
      <c r="E26" s="1">
        <v>66000</v>
      </c>
      <c r="F26" s="1">
        <v>85</v>
      </c>
      <c r="G26" s="1">
        <v>65</v>
      </c>
      <c r="H26" s="1">
        <f t="shared" si="6"/>
        <v>150</v>
      </c>
      <c r="I26" s="1">
        <v>40</v>
      </c>
      <c r="J26">
        <f t="shared" si="7"/>
        <v>125</v>
      </c>
    </row>
    <row r="27" spans="1:25">
      <c r="A27" s="1">
        <v>6</v>
      </c>
      <c r="B27" s="1">
        <v>10</v>
      </c>
      <c r="C27" s="1">
        <v>15</v>
      </c>
      <c r="D27" s="1">
        <v>320000</v>
      </c>
      <c r="E27" s="1">
        <v>96000</v>
      </c>
      <c r="F27" s="1">
        <v>130</v>
      </c>
      <c r="G27" s="1">
        <v>86</v>
      </c>
      <c r="H27" s="1">
        <f t="shared" si="6"/>
        <v>216</v>
      </c>
      <c r="I27" s="1">
        <v>56</v>
      </c>
      <c r="J27">
        <f t="shared" si="7"/>
        <v>186</v>
      </c>
      <c r="K27">
        <f>D27/D24</f>
        <v>4</v>
      </c>
      <c r="L27">
        <f>F24*K27</f>
        <v>148</v>
      </c>
      <c r="M27">
        <f>G24*K27</f>
        <v>80</v>
      </c>
      <c r="N27">
        <f>I24*K27</f>
        <v>72</v>
      </c>
      <c r="O27">
        <f>L27+M27+N27-H27-I27</f>
        <v>28</v>
      </c>
      <c r="Q27">
        <f>24/28</f>
        <v>0.8571428571428571</v>
      </c>
      <c r="R27">
        <f>O27*Q27</f>
        <v>24</v>
      </c>
      <c r="S27">
        <v>24</v>
      </c>
      <c r="T27">
        <v>4</v>
      </c>
      <c r="U27">
        <f>T27*S27*105%</f>
        <v>100.80000000000001</v>
      </c>
      <c r="W27">
        <v>6</v>
      </c>
      <c r="Y27">
        <f>S27/O27</f>
        <v>0.8571428571428571</v>
      </c>
    </row>
    <row r="28" spans="1:25">
      <c r="A28" s="1">
        <v>7</v>
      </c>
      <c r="B28" s="1">
        <v>10</v>
      </c>
      <c r="C28" s="1">
        <v>15</v>
      </c>
      <c r="D28" s="1">
        <v>460000</v>
      </c>
      <c r="E28" s="1">
        <v>138000</v>
      </c>
      <c r="F28" s="1">
        <v>175</v>
      </c>
      <c r="G28" s="1">
        <v>115</v>
      </c>
      <c r="H28" s="1">
        <f t="shared" si="6"/>
        <v>290</v>
      </c>
      <c r="I28" s="1">
        <v>74</v>
      </c>
      <c r="J28">
        <f t="shared" si="7"/>
        <v>249</v>
      </c>
      <c r="K28">
        <f>D28/D24</f>
        <v>5.75</v>
      </c>
      <c r="L28">
        <f>F24*K28</f>
        <v>212.75</v>
      </c>
      <c r="M28">
        <f>G24*K28</f>
        <v>115</v>
      </c>
      <c r="N28">
        <f>I24*K28</f>
        <v>103.5</v>
      </c>
      <c r="O28">
        <f>L28+M28+N28-H28-I28</f>
        <v>67.25</v>
      </c>
      <c r="Q28">
        <f t="shared" ref="Q28:Q36" si="8">24/28</f>
        <v>0.8571428571428571</v>
      </c>
      <c r="R28">
        <f t="shared" ref="R28:R36" si="9">O28*Q28</f>
        <v>57.642857142857139</v>
      </c>
      <c r="S28">
        <v>58</v>
      </c>
      <c r="T28">
        <v>4</v>
      </c>
      <c r="U28">
        <f t="shared" ref="U28:U36" si="10">T28*S28*105%</f>
        <v>243.60000000000002</v>
      </c>
      <c r="W28">
        <v>7</v>
      </c>
      <c r="Y28">
        <f t="shared" ref="Y28:Y36" si="11">S28/O28</f>
        <v>0.86245353159851301</v>
      </c>
    </row>
    <row r="29" spans="1:25">
      <c r="A29" s="1">
        <v>8</v>
      </c>
      <c r="B29" s="1">
        <v>10</v>
      </c>
      <c r="C29" s="1">
        <v>15</v>
      </c>
      <c r="D29" s="1">
        <v>580000</v>
      </c>
      <c r="E29" s="1">
        <v>174000</v>
      </c>
      <c r="F29" s="1">
        <v>210</v>
      </c>
      <c r="G29" s="1">
        <v>150</v>
      </c>
      <c r="H29" s="1">
        <f t="shared" si="6"/>
        <v>360</v>
      </c>
      <c r="I29" s="1">
        <v>92</v>
      </c>
      <c r="J29">
        <f t="shared" si="7"/>
        <v>302</v>
      </c>
      <c r="K29">
        <f>D29/D24</f>
        <v>7.25</v>
      </c>
      <c r="L29">
        <f>F24*K29</f>
        <v>268.25</v>
      </c>
      <c r="M29">
        <f>G24*K29</f>
        <v>145</v>
      </c>
      <c r="N29">
        <f>I24*K29</f>
        <v>130.5</v>
      </c>
      <c r="O29">
        <f t="shared" ref="O29:O36" si="12">L29+M29+N29-H29-I29</f>
        <v>91.75</v>
      </c>
      <c r="Q29">
        <f t="shared" si="8"/>
        <v>0.8571428571428571</v>
      </c>
      <c r="R29">
        <f t="shared" si="9"/>
        <v>78.642857142857139</v>
      </c>
      <c r="S29">
        <v>83</v>
      </c>
      <c r="T29">
        <v>0</v>
      </c>
      <c r="U29">
        <f t="shared" si="10"/>
        <v>0</v>
      </c>
      <c r="W29">
        <v>8</v>
      </c>
      <c r="Y29">
        <f t="shared" si="11"/>
        <v>0.90463215258855589</v>
      </c>
    </row>
    <row r="30" spans="1:25">
      <c r="A30" s="1">
        <v>9</v>
      </c>
      <c r="B30" s="1">
        <v>8</v>
      </c>
      <c r="C30" s="1">
        <v>12</v>
      </c>
      <c r="D30" s="1">
        <v>850000</v>
      </c>
      <c r="E30" s="1">
        <v>225000</v>
      </c>
      <c r="F30" s="1">
        <v>310</v>
      </c>
      <c r="G30" s="1">
        <v>230</v>
      </c>
      <c r="H30" s="1">
        <f t="shared" si="6"/>
        <v>540</v>
      </c>
      <c r="I30" s="1">
        <v>125</v>
      </c>
      <c r="J30">
        <f t="shared" si="7"/>
        <v>435</v>
      </c>
      <c r="K30">
        <f>D30/D24</f>
        <v>10.625</v>
      </c>
      <c r="L30">
        <f>F24*K30</f>
        <v>393.125</v>
      </c>
      <c r="M30">
        <f>G24*K30</f>
        <v>212.5</v>
      </c>
      <c r="N30">
        <f>I24*K30</f>
        <v>191.25</v>
      </c>
      <c r="O30">
        <f t="shared" si="12"/>
        <v>131.875</v>
      </c>
      <c r="Q30">
        <f t="shared" si="8"/>
        <v>0.8571428571428571</v>
      </c>
      <c r="R30">
        <f t="shared" si="9"/>
        <v>113.03571428571428</v>
      </c>
      <c r="S30">
        <v>120</v>
      </c>
      <c r="T30">
        <v>0</v>
      </c>
      <c r="U30">
        <f t="shared" si="10"/>
        <v>0</v>
      </c>
      <c r="W30">
        <v>9</v>
      </c>
      <c r="Y30">
        <f t="shared" si="11"/>
        <v>0.90995260663507105</v>
      </c>
    </row>
    <row r="31" spans="1:25">
      <c r="A31" s="1">
        <v>10</v>
      </c>
      <c r="B31" s="1">
        <v>8</v>
      </c>
      <c r="C31" s="1">
        <v>12</v>
      </c>
      <c r="D31" s="1">
        <v>1250000</v>
      </c>
      <c r="E31" s="1">
        <v>375000</v>
      </c>
      <c r="F31" s="1">
        <v>420</v>
      </c>
      <c r="G31" s="1">
        <v>348</v>
      </c>
      <c r="H31" s="1">
        <f t="shared" si="6"/>
        <v>768</v>
      </c>
      <c r="I31" s="1">
        <v>180</v>
      </c>
      <c r="J31">
        <f t="shared" si="7"/>
        <v>600</v>
      </c>
      <c r="K31">
        <f>D31/D24</f>
        <v>15.625</v>
      </c>
      <c r="L31">
        <f>F24*K31</f>
        <v>578.125</v>
      </c>
      <c r="M31">
        <f>G24*K31</f>
        <v>312.5</v>
      </c>
      <c r="N31">
        <f>I24*K31</f>
        <v>281.25</v>
      </c>
      <c r="O31">
        <f t="shared" si="12"/>
        <v>223.875</v>
      </c>
      <c r="Q31">
        <f t="shared" si="8"/>
        <v>0.8571428571428571</v>
      </c>
      <c r="R31">
        <f t="shared" si="9"/>
        <v>191.89285714285714</v>
      </c>
      <c r="S31">
        <v>205</v>
      </c>
      <c r="T31">
        <v>0</v>
      </c>
      <c r="U31">
        <f t="shared" si="10"/>
        <v>0</v>
      </c>
      <c r="W31">
        <v>10</v>
      </c>
      <c r="Y31">
        <f t="shared" si="11"/>
        <v>0.9156895589056393</v>
      </c>
    </row>
    <row r="32" spans="1:25">
      <c r="A32" s="1">
        <v>11</v>
      </c>
      <c r="B32" s="1">
        <v>8</v>
      </c>
      <c r="C32" s="1">
        <v>12</v>
      </c>
      <c r="D32" s="1">
        <v>1850000</v>
      </c>
      <c r="E32" s="1">
        <v>555000</v>
      </c>
      <c r="F32" s="1">
        <v>560</v>
      </c>
      <c r="G32" s="1">
        <v>560</v>
      </c>
      <c r="H32" s="1">
        <f t="shared" si="6"/>
        <v>1120</v>
      </c>
      <c r="I32" s="1">
        <v>260</v>
      </c>
      <c r="J32">
        <f t="shared" si="7"/>
        <v>820</v>
      </c>
      <c r="K32">
        <f>D32/D24</f>
        <v>23.125</v>
      </c>
      <c r="L32">
        <f>F24*K32</f>
        <v>855.625</v>
      </c>
      <c r="M32">
        <f>G24*K32</f>
        <v>462.5</v>
      </c>
      <c r="N32">
        <f>I24*K32</f>
        <v>416.25</v>
      </c>
      <c r="O32">
        <f t="shared" si="12"/>
        <v>354.375</v>
      </c>
      <c r="Q32">
        <f t="shared" si="8"/>
        <v>0.8571428571428571</v>
      </c>
      <c r="R32">
        <f t="shared" si="9"/>
        <v>303.75</v>
      </c>
      <c r="S32">
        <v>325</v>
      </c>
      <c r="T32">
        <v>0</v>
      </c>
      <c r="U32">
        <f t="shared" si="10"/>
        <v>0</v>
      </c>
      <c r="W32">
        <v>11</v>
      </c>
      <c r="Y32">
        <f t="shared" si="11"/>
        <v>0.91710758377425039</v>
      </c>
    </row>
    <row r="33" spans="1:25">
      <c r="A33" s="1">
        <v>12</v>
      </c>
      <c r="B33" s="1">
        <v>0</v>
      </c>
      <c r="C33" s="1">
        <v>0</v>
      </c>
      <c r="D33" s="1">
        <v>3500000</v>
      </c>
      <c r="E33" s="1">
        <v>1050000</v>
      </c>
      <c r="F33" s="1">
        <v>850</v>
      </c>
      <c r="G33" s="1">
        <v>1300</v>
      </c>
      <c r="H33" s="1">
        <f t="shared" si="6"/>
        <v>2150</v>
      </c>
      <c r="I33" s="1">
        <v>450</v>
      </c>
      <c r="J33">
        <f t="shared" si="7"/>
        <v>1300</v>
      </c>
      <c r="K33">
        <f>D33/D24</f>
        <v>43.75</v>
      </c>
      <c r="L33">
        <f>F24*K33</f>
        <v>1618.75</v>
      </c>
      <c r="M33">
        <f>G24*K33</f>
        <v>875</v>
      </c>
      <c r="N33">
        <f>I24*K33</f>
        <v>787.5</v>
      </c>
      <c r="O33">
        <f t="shared" si="12"/>
        <v>681.25</v>
      </c>
      <c r="Q33">
        <f t="shared" si="8"/>
        <v>0.8571428571428571</v>
      </c>
      <c r="R33">
        <f t="shared" si="9"/>
        <v>583.92857142857144</v>
      </c>
      <c r="S33">
        <v>630</v>
      </c>
      <c r="T33">
        <v>0</v>
      </c>
      <c r="U33">
        <f t="shared" si="10"/>
        <v>0</v>
      </c>
      <c r="W33">
        <v>12</v>
      </c>
      <c r="Y33">
        <f t="shared" si="11"/>
        <v>0.92477064220183491</v>
      </c>
    </row>
    <row r="34" spans="1:25">
      <c r="A34" s="1">
        <v>13</v>
      </c>
      <c r="B34" s="1">
        <v>0</v>
      </c>
      <c r="C34" s="1">
        <v>0</v>
      </c>
      <c r="D34" s="1">
        <v>5250000</v>
      </c>
      <c r="E34" s="1">
        <v>1575000</v>
      </c>
      <c r="F34" s="1">
        <v>1450</v>
      </c>
      <c r="G34" s="1">
        <v>1650</v>
      </c>
      <c r="H34" s="1">
        <f t="shared" si="6"/>
        <v>3100</v>
      </c>
      <c r="I34" s="1">
        <v>700</v>
      </c>
      <c r="J34">
        <f t="shared" si="7"/>
        <v>2150</v>
      </c>
      <c r="K34">
        <f>D34/D24</f>
        <v>65.625</v>
      </c>
      <c r="L34">
        <f>F24*K34</f>
        <v>2428.125</v>
      </c>
      <c r="M34">
        <f>G24*K34</f>
        <v>1312.5</v>
      </c>
      <c r="N34">
        <f>I24*K34</f>
        <v>1181.25</v>
      </c>
      <c r="O34">
        <f t="shared" si="12"/>
        <v>1121.875</v>
      </c>
      <c r="Q34">
        <f t="shared" si="8"/>
        <v>0.8571428571428571</v>
      </c>
      <c r="R34">
        <f t="shared" si="9"/>
        <v>961.60714285714278</v>
      </c>
      <c r="S34">
        <v>1050</v>
      </c>
      <c r="T34">
        <v>0</v>
      </c>
      <c r="U34">
        <f t="shared" si="10"/>
        <v>0</v>
      </c>
      <c r="W34">
        <v>13</v>
      </c>
      <c r="Y34">
        <f t="shared" si="11"/>
        <v>0.93593314763231195</v>
      </c>
    </row>
    <row r="35" spans="1:25">
      <c r="A35" s="1">
        <v>14</v>
      </c>
      <c r="B35" s="1">
        <v>0</v>
      </c>
      <c r="C35" s="1">
        <v>0</v>
      </c>
      <c r="D35" s="1">
        <v>7000000</v>
      </c>
      <c r="E35" s="1">
        <v>2100000</v>
      </c>
      <c r="F35" s="1">
        <v>1600</v>
      </c>
      <c r="G35" s="1">
        <v>2500</v>
      </c>
      <c r="H35" s="1">
        <f t="shared" si="6"/>
        <v>4100</v>
      </c>
      <c r="I35" s="1">
        <v>900</v>
      </c>
      <c r="J35">
        <f t="shared" si="7"/>
        <v>2500</v>
      </c>
      <c r="K35">
        <f>D35/D24</f>
        <v>87.5</v>
      </c>
      <c r="L35">
        <f>F24*K35</f>
        <v>3237.5</v>
      </c>
      <c r="M35">
        <f>G24*K35</f>
        <v>1750</v>
      </c>
      <c r="N35">
        <f>I24*K35</f>
        <v>1575</v>
      </c>
      <c r="O35">
        <f t="shared" si="12"/>
        <v>1562.5</v>
      </c>
      <c r="Q35">
        <f t="shared" si="8"/>
        <v>0.8571428571428571</v>
      </c>
      <c r="R35">
        <f t="shared" si="9"/>
        <v>1339.2857142857142</v>
      </c>
      <c r="S35">
        <v>1470</v>
      </c>
      <c r="T35">
        <v>0</v>
      </c>
      <c r="U35">
        <f t="shared" si="10"/>
        <v>0</v>
      </c>
      <c r="W35">
        <v>14</v>
      </c>
      <c r="Y35">
        <f t="shared" si="11"/>
        <v>0.94079999999999997</v>
      </c>
    </row>
    <row r="36" spans="1:25">
      <c r="A36" s="1">
        <v>15</v>
      </c>
      <c r="B36" s="1">
        <v>0</v>
      </c>
      <c r="C36" s="1">
        <v>0</v>
      </c>
      <c r="D36" s="1">
        <v>10500000</v>
      </c>
      <c r="E36" s="1">
        <v>3150000</v>
      </c>
      <c r="F36" s="1">
        <v>2500</v>
      </c>
      <c r="G36" s="1">
        <v>3600</v>
      </c>
      <c r="H36" s="1">
        <f t="shared" si="6"/>
        <v>6100</v>
      </c>
      <c r="I36" s="1">
        <v>1400</v>
      </c>
      <c r="J36">
        <f t="shared" si="7"/>
        <v>3900</v>
      </c>
      <c r="K36">
        <f>D36/D24</f>
        <v>131.25</v>
      </c>
      <c r="L36">
        <f>F24*K36</f>
        <v>4856.25</v>
      </c>
      <c r="M36">
        <f>G24*K36</f>
        <v>2625</v>
      </c>
      <c r="N36">
        <f>I24*K36</f>
        <v>2362.5</v>
      </c>
      <c r="O36">
        <f t="shared" si="12"/>
        <v>2343.75</v>
      </c>
      <c r="Q36">
        <f t="shared" si="8"/>
        <v>0.8571428571428571</v>
      </c>
      <c r="R36">
        <f t="shared" si="9"/>
        <v>2008.9285714285713</v>
      </c>
      <c r="S36">
        <v>2250</v>
      </c>
      <c r="T36">
        <v>0</v>
      </c>
      <c r="U36">
        <f t="shared" si="10"/>
        <v>0</v>
      </c>
      <c r="W36">
        <v>15</v>
      </c>
      <c r="Y36">
        <f t="shared" si="11"/>
        <v>0.96</v>
      </c>
    </row>
    <row r="37" spans="1:25">
      <c r="D37">
        <f>D36/700/1.3</f>
        <v>11538.461538461537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存默 黄</dc:creator>
  <cp:lastModifiedBy>存默 黄</cp:lastModifiedBy>
  <dcterms:created xsi:type="dcterms:W3CDTF">2024-04-22T09:22:08Z</dcterms:created>
  <dcterms:modified xsi:type="dcterms:W3CDTF">2024-04-26T10:07:54Z</dcterms:modified>
</cp:coreProperties>
</file>