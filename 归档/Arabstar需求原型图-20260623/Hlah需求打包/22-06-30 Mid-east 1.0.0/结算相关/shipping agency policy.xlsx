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Martin/Desktop/默往/陌生人社交-牵寻/22-06-30 Mid-east 1.0.0/结算相关/"/>
    </mc:Choice>
  </mc:AlternateContent>
  <xr:revisionPtr revIDLastSave="0" documentId="13_ncr:1_{8252F474-B2EE-4348-B7DD-A5A816D7A0DA}" xr6:coauthVersionLast="47" xr6:coauthVersionMax="47" xr10:uidLastSave="{00000000-0000-0000-0000-000000000000}"/>
  <bookViews>
    <workbookView xWindow="0" yWindow="760" windowWidth="34560" windowHeight="21580" xr2:uid="{AADDBAFC-0D08-3749-B7C2-9A74CDE493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10" i="1"/>
  <c r="B4" i="1"/>
  <c r="B5" i="1"/>
  <c r="B7" i="1"/>
  <c r="B8" i="1"/>
  <c r="B6" i="1"/>
  <c r="D9" i="1" l="1"/>
  <c r="E9" i="1" s="1"/>
  <c r="D10" i="1"/>
  <c r="E10" i="1" s="1"/>
  <c r="D5" i="1"/>
  <c r="E5" i="1" s="1"/>
  <c r="D4" i="1"/>
  <c r="E4" i="1" s="1"/>
  <c r="D8" i="1"/>
  <c r="D7" i="1"/>
  <c r="D6" i="1"/>
  <c r="F9" i="1" l="1"/>
  <c r="F10" i="1"/>
  <c r="F5" i="1"/>
  <c r="F4" i="1"/>
  <c r="F6" i="1"/>
  <c r="E6" i="1"/>
  <c r="F7" i="1"/>
  <c r="E7" i="1"/>
  <c r="F8" i="1"/>
  <c r="E8" i="1"/>
</calcChain>
</file>

<file path=xl/sharedStrings.xml><?xml version="1.0" encoding="utf-8"?>
<sst xmlns="http://schemas.openxmlformats.org/spreadsheetml/2006/main" count="42" uniqueCount="34">
  <si>
    <t>SHIPPING OFFERS BY MONEY TRANSFER</t>
  </si>
  <si>
    <t>TOTAL COINS</t>
    <phoneticPr fontId="1" type="noConversion"/>
  </si>
  <si>
    <t>Payoneer</t>
    <phoneticPr fontId="1" type="noConversion"/>
  </si>
  <si>
    <t>Paypal</t>
    <phoneticPr fontId="1" type="noConversion"/>
  </si>
  <si>
    <t>1. After the shipping agency has purchased gold coins, please contact Hlah customer service in the app and inform the customer service account, time and amount of the transfer.
2. The purchased coins will be credited to the account within one day on the working day.
3. When the shipping agency buys gold coins, it cannot initiate a return to the official or withdraw cash from the official.</t>
    <phoneticPr fontId="1" type="noConversion"/>
  </si>
  <si>
    <t>Recharge</t>
    <phoneticPr fontId="1" type="noConversion"/>
  </si>
  <si>
    <t>Bonus</t>
    <phoneticPr fontId="1" type="noConversion"/>
  </si>
  <si>
    <t>Coins</t>
    <phoneticPr fontId="1" type="noConversion"/>
  </si>
  <si>
    <t>Bonus of coins</t>
    <phoneticPr fontId="1" type="noConversion"/>
  </si>
  <si>
    <t>Value of bonus</t>
    <phoneticPr fontId="1" type="noConversion"/>
  </si>
  <si>
    <t>VIP</t>
    <phoneticPr fontId="1" type="noConversion"/>
  </si>
  <si>
    <t>Headwear</t>
    <phoneticPr fontId="1" type="noConversion"/>
  </si>
  <si>
    <t>car</t>
    <phoneticPr fontId="1" type="noConversion"/>
  </si>
  <si>
    <t>30days</t>
    <phoneticPr fontId="1" type="noConversion"/>
  </si>
  <si>
    <t>vip1 - 15days</t>
    <phoneticPr fontId="1" type="noConversion"/>
  </si>
  <si>
    <t>Unique-ID</t>
    <phoneticPr fontId="1" type="noConversion"/>
  </si>
  <si>
    <t>vip1 - 30days</t>
    <phoneticPr fontId="1" type="noConversion"/>
  </si>
  <si>
    <t>vip2 - 30days</t>
    <phoneticPr fontId="1" type="noConversion"/>
  </si>
  <si>
    <t>vip2 - 60days</t>
    <phoneticPr fontId="1" type="noConversion"/>
  </si>
  <si>
    <t>vip3 - 180days</t>
    <phoneticPr fontId="1" type="noConversion"/>
  </si>
  <si>
    <t>vip3 - 60days</t>
    <phoneticPr fontId="1" type="noConversion"/>
  </si>
  <si>
    <t>vip3 - 90days</t>
    <phoneticPr fontId="1" type="noConversion"/>
  </si>
  <si>
    <t>60days</t>
    <phoneticPr fontId="1" type="noConversion"/>
  </si>
  <si>
    <t>120days</t>
    <phoneticPr fontId="1" type="noConversion"/>
  </si>
  <si>
    <t>Gold - 30days</t>
    <phoneticPr fontId="1" type="noConversion"/>
  </si>
  <si>
    <t>Gold - 120days</t>
    <phoneticPr fontId="1" type="noConversion"/>
  </si>
  <si>
    <t>Gold - 60days</t>
    <phoneticPr fontId="1" type="noConversion"/>
  </si>
  <si>
    <t>permanent,6-digit</t>
    <phoneticPr fontId="1" type="noConversion"/>
  </si>
  <si>
    <t>Loyal - 60days</t>
    <phoneticPr fontId="1" type="noConversion"/>
  </si>
  <si>
    <t>Loyal - 90days</t>
    <phoneticPr fontId="1" type="noConversion"/>
  </si>
  <si>
    <t>Loyal - 120days</t>
    <phoneticPr fontId="1" type="noConversion"/>
  </si>
  <si>
    <t>King - 120days</t>
    <phoneticPr fontId="1" type="noConversion"/>
  </si>
  <si>
    <t>240days</t>
    <phoneticPr fontId="1" type="noConversion"/>
  </si>
  <si>
    <t>360days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</si>
</sst>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4" formatCode="\$#,##0_);[Red]\(\$#,##0\)"/>
    <numFmt numFmtId="176" formatCode="\$#,##0"/>
  </numFmts>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24" fontId="0" fillId="0" borderId="0" xfId="0" applyNumberFormat="1">
      <alignment vertical="center"/>
    </xf>
    <xf numFmtId="9" fontId="0" fillId="0" borderId="0" xfId="0" applyNumberFormat="1">
      <alignment vertical="center"/>
    </xf>
    <xf numFmtId="176" fontId="0" fillId="0" borderId="0" xfId="0" applyNumberFormat="1">
      <alignment vertical="center"/>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520C-6354-CE45-8121-7BEEBB6B6922}">
  <dimension ref="A1:J26"/>
  <sheetViews>
    <sheetView tabSelected="1" zoomScale="160" workbookViewId="0">
      <selection activeCell="G17" sqref="G17"/>
    </sheetView>
  </sheetViews>
  <sheetFormatPr baseColWidth="10" defaultColWidth="14.83203125" defaultRowHeight="16"/>
  <sheetData>
    <row r="1" spans="1:10">
      <c r="A1" t="s">
        <v>2</v>
      </c>
      <c r="C1" t="s">
        <v>3</v>
      </c>
    </row>
    <row r="2" spans="1:10">
      <c r="A2" t="s">
        <v>0</v>
      </c>
    </row>
    <row r="3" spans="1:10">
      <c r="A3" t="s">
        <v>5</v>
      </c>
      <c r="B3" t="s">
        <v>7</v>
      </c>
      <c r="C3" t="s">
        <v>6</v>
      </c>
      <c r="D3" t="s">
        <v>8</v>
      </c>
      <c r="E3" t="s">
        <v>9</v>
      </c>
      <c r="F3" t="s">
        <v>1</v>
      </c>
      <c r="G3" t="s">
        <v>10</v>
      </c>
      <c r="H3" t="s">
        <v>11</v>
      </c>
      <c r="I3" t="s">
        <v>12</v>
      </c>
      <c r="J3" t="s">
        <v>15</v>
      </c>
    </row>
    <row r="4" spans="1:10">
      <c r="A4" s="3">
        <v>500</v>
      </c>
      <c r="B4">
        <f t="shared" ref="B4:B5" si="0">A4*700</f>
        <v>350000</v>
      </c>
      <c r="C4" s="2">
        <v>0.12</v>
      </c>
      <c r="D4">
        <f t="shared" ref="D4:D5" si="1">B4*C4</f>
        <v>42000</v>
      </c>
      <c r="E4">
        <f t="shared" ref="E4:E5" si="2">D4/700</f>
        <v>60</v>
      </c>
      <c r="F4">
        <f t="shared" ref="F4:F5" si="3">B4+D4</f>
        <v>392000</v>
      </c>
      <c r="G4" t="s">
        <v>14</v>
      </c>
      <c r="H4" t="s">
        <v>24</v>
      </c>
      <c r="I4" t="s">
        <v>13</v>
      </c>
      <c r="J4" t="s">
        <v>27</v>
      </c>
    </row>
    <row r="5" spans="1:10">
      <c r="A5" s="3">
        <v>1000</v>
      </c>
      <c r="B5">
        <f t="shared" si="0"/>
        <v>700000</v>
      </c>
      <c r="C5" s="2">
        <v>0.17</v>
      </c>
      <c r="D5">
        <f t="shared" si="1"/>
        <v>119000.00000000001</v>
      </c>
      <c r="E5">
        <f t="shared" si="2"/>
        <v>170.00000000000003</v>
      </c>
      <c r="F5">
        <f t="shared" si="3"/>
        <v>819000</v>
      </c>
      <c r="G5" t="s">
        <v>16</v>
      </c>
      <c r="H5" t="s">
        <v>26</v>
      </c>
      <c r="I5" t="s">
        <v>22</v>
      </c>
      <c r="J5" t="s">
        <v>27</v>
      </c>
    </row>
    <row r="6" spans="1:10">
      <c r="A6" s="1">
        <v>2000</v>
      </c>
      <c r="B6">
        <f>A6*700</f>
        <v>1400000</v>
      </c>
      <c r="C6" s="2">
        <v>0.19</v>
      </c>
      <c r="D6">
        <f>B6*C6</f>
        <v>266000</v>
      </c>
      <c r="E6">
        <f>D6/700</f>
        <v>380</v>
      </c>
      <c r="F6">
        <f>B6+D6</f>
        <v>1666000</v>
      </c>
      <c r="G6" t="s">
        <v>17</v>
      </c>
      <c r="H6" t="s">
        <v>25</v>
      </c>
      <c r="I6" t="s">
        <v>23</v>
      </c>
      <c r="J6" t="s">
        <v>27</v>
      </c>
    </row>
    <row r="7" spans="1:10">
      <c r="A7" s="1">
        <v>6000</v>
      </c>
      <c r="B7">
        <f t="shared" ref="B7:B10" si="4">A7*700</f>
        <v>4200000</v>
      </c>
      <c r="C7" s="2">
        <v>0.23</v>
      </c>
      <c r="D7">
        <f>B7*C7</f>
        <v>966000</v>
      </c>
      <c r="E7">
        <f t="shared" ref="E7:E10" si="5">D7/700</f>
        <v>1380</v>
      </c>
      <c r="F7">
        <f>B7+D7</f>
        <v>5166000</v>
      </c>
      <c r="G7" t="s">
        <v>18</v>
      </c>
      <c r="H7" t="s">
        <v>28</v>
      </c>
      <c r="I7" t="s">
        <v>32</v>
      </c>
      <c r="J7" t="s">
        <v>27</v>
      </c>
    </row>
    <row r="8" spans="1:10">
      <c r="A8" s="1">
        <v>10000</v>
      </c>
      <c r="B8">
        <f t="shared" si="4"/>
        <v>7000000</v>
      </c>
      <c r="C8" s="2">
        <v>0.25</v>
      </c>
      <c r="D8">
        <f>B8*C8</f>
        <v>1750000</v>
      </c>
      <c r="E8">
        <f t="shared" si="5"/>
        <v>2500</v>
      </c>
      <c r="F8">
        <f>B8+D8</f>
        <v>8750000</v>
      </c>
      <c r="G8" t="s">
        <v>20</v>
      </c>
      <c r="H8" t="s">
        <v>29</v>
      </c>
      <c r="I8" t="s">
        <v>32</v>
      </c>
      <c r="J8" t="s">
        <v>27</v>
      </c>
    </row>
    <row r="9" spans="1:10">
      <c r="A9" s="1">
        <v>30000</v>
      </c>
      <c r="B9">
        <f t="shared" si="4"/>
        <v>21000000</v>
      </c>
      <c r="C9" s="2">
        <v>0.27</v>
      </c>
      <c r="D9">
        <f>B9*C9</f>
        <v>5670000</v>
      </c>
      <c r="E9">
        <f t="shared" si="5"/>
        <v>8100</v>
      </c>
      <c r="F9">
        <f>B9+D9</f>
        <v>26670000</v>
      </c>
      <c r="G9" t="s">
        <v>21</v>
      </c>
      <c r="H9" t="s">
        <v>30</v>
      </c>
      <c r="I9" t="s">
        <v>33</v>
      </c>
      <c r="J9" t="s">
        <v>27</v>
      </c>
    </row>
    <row r="10" spans="1:10">
      <c r="A10" s="1">
        <v>50000</v>
      </c>
      <c r="B10">
        <f t="shared" si="4"/>
        <v>35000000</v>
      </c>
      <c r="C10" s="2">
        <v>0.28999999999999998</v>
      </c>
      <c r="D10">
        <f>B10*C10</f>
        <v>10150000</v>
      </c>
      <c r="E10">
        <f t="shared" si="5"/>
        <v>14500</v>
      </c>
      <c r="F10">
        <f>B10+D10</f>
        <v>45150000</v>
      </c>
      <c r="G10" t="s">
        <v>19</v>
      </c>
      <c r="H10" t="s">
        <v>31</v>
      </c>
      <c r="I10" t="s">
        <v>33</v>
      </c>
      <c r="J10" t="s">
        <v>27</v>
      </c>
    </row>
    <row r="12" spans="1:10" ht="16" customHeight="1">
      <c r="A12" s="4" t="s">
        <v>4</v>
      </c>
      <c r="B12" s="4"/>
      <c r="C12" s="4"/>
      <c r="D12" s="4"/>
      <c r="E12" s="4"/>
      <c r="F12" s="4"/>
    </row>
    <row r="13" spans="1:10">
      <c r="A13" s="4"/>
      <c r="B13" s="4"/>
      <c r="C13" s="4"/>
      <c r="D13" s="4"/>
      <c r="E13" s="4"/>
      <c r="F13" s="4"/>
    </row>
    <row r="14" spans="1:10">
      <c r="A14" s="4"/>
      <c r="B14" s="4"/>
      <c r="C14" s="4"/>
      <c r="D14" s="4"/>
      <c r="E14" s="4"/>
      <c r="F14" s="4"/>
    </row>
    <row r="15" spans="1:10">
      <c r="A15" s="4"/>
      <c r="B15" s="4"/>
      <c r="C15" s="4"/>
      <c r="D15" s="4"/>
      <c r="E15" s="4"/>
      <c r="F15" s="4"/>
    </row>
    <row r="16" spans="1:10">
      <c r="A16" s="4"/>
      <c r="B16" s="4"/>
      <c r="C16" s="4"/>
      <c r="D16" s="4"/>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sheetData>
  <mergeCells count="1">
    <mergeCell ref="A12:F26"/>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黄存默</dc:creator>
  <cp:lastModifiedBy>存默 黄</cp:lastModifiedBy>
  <dcterms:created xsi:type="dcterms:W3CDTF">2022-08-12T09:51:30Z</dcterms:created>
  <dcterms:modified xsi:type="dcterms:W3CDTF">2024-05-16T08:52:50Z</dcterms:modified>
</cp:coreProperties>
</file>