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结算相关/"/>
    </mc:Choice>
  </mc:AlternateContent>
  <xr:revisionPtr revIDLastSave="0" documentId="13_ncr:1_{2113946C-1E39-FA40-9025-7217C6CC050C}" xr6:coauthVersionLast="47" xr6:coauthVersionMax="47" xr10:uidLastSave="{00000000-0000-0000-0000-000000000000}"/>
  <bookViews>
    <workbookView xWindow="0" yWindow="500" windowWidth="35840" windowHeight="21900" xr2:uid="{B7FE8970-52A5-ED4F-BDD1-E64C97CBF94E}"/>
  </bookViews>
  <sheets>
    <sheet name="binmo" sheetId="1" r:id="rId1"/>
    <sheet name="ha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<sst xmlns="http://schemas.openxmlformats.org/spreadsheetml/2006/main" count="52" uniqueCount="30">
  <si>
    <t>$1=910金币成本</t>
    <phoneticPr fontId="1" type="noConversion"/>
  </si>
  <si>
    <t>$1=861金币成本</t>
    <phoneticPr fontId="1" type="noConversion"/>
  </si>
  <si>
    <t>910利润率</t>
    <phoneticPr fontId="1" type="noConversion"/>
  </si>
  <si>
    <t>700利润率</t>
    <phoneticPr fontId="1" type="noConversion"/>
  </si>
  <si>
    <t>861利润率</t>
    <phoneticPr fontId="1" type="noConversion"/>
  </si>
  <si>
    <t>面板支出美元</t>
    <phoneticPr fontId="1" type="noConversion"/>
  </si>
  <si>
    <t>等级</t>
    <phoneticPr fontId="1" type="noConversion"/>
  </si>
  <si>
    <t>天数</t>
    <phoneticPr fontId="1" type="noConversion"/>
  </si>
  <si>
    <t>小时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</si>
  <si>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</si>
  <si>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</si>
  <si>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</si>
  <si>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</si>
  <si>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</si>
  <si>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送vip</t>
    <phoneticPr fontId="1" type="noConversion"/>
  </si>
  <si>
    <t>送入场</t>
    <phoneticPr fontId="1" type="noConversion"/>
  </si>
  <si>
    <t>送头像框</t>
    <phoneticPr fontId="1" type="noConversion"/>
  </si>
  <si>
    <t>-</t>
    <phoneticPr fontId="1" type="noConversion"/>
  </si>
  <si>
    <t>1*7</t>
    <phoneticPr fontId="1" type="noConversion"/>
  </si>
  <si>
    <t>1*15</t>
    <phoneticPr fontId="1" type="noConversion"/>
  </si>
  <si>
    <t>1*30</t>
    <phoneticPr fontId="1" type="noConversion"/>
  </si>
  <si>
    <t>2*10</t>
    <phoneticPr fontId="1" type="noConversion"/>
  </si>
  <si>
    <t>$1=700金币成本</t>
    <phoneticPr fontId="1" type="noConversion"/>
  </si>
  <si>
    <t>2*15</t>
    <phoneticPr fontId="1" type="noConversion"/>
  </si>
  <si>
    <t>2*20</t>
    <phoneticPr fontId="1" type="noConversion"/>
  </si>
  <si>
    <t>2*25</t>
    <phoneticPr fontId="1" type="noConversion"/>
  </si>
  <si>
    <t>2*30</t>
    <phoneticPr fontId="1" type="noConversion"/>
  </si>
  <si>
    <t>3*30</t>
    <phoneticPr fontId="1" type="noConversion"/>
  </si>
  <si>
    <t>目标黄金</t>
    <phoneticPr fontId="1" type="noConversion"/>
  </si>
  <si>
    <t>礼物金币目标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</si>
</sst>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00B05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74A0-88E9-7044-B0FC-C38A4E5BF246}">
  <dimension ref="A1:M16"/>
  <sheetViews>
    <sheetView tabSelected="1" zoomScale="114" zoomScaleNormal="170" workbookViewId="0">
      <selection activeCell="K17" sqref="K17"/>
    </sheetView>
  </sheetViews>
  <sheetFormatPr baseColWidth="10" defaultRowHeight="32" customHeight="1"/>
  <cols>
    <col min="1" max="3" width="10.83203125" style="3"/>
    <col min="4" max="4" width="10.83203125" style="12"/>
    <col min="5" max="5" width="10.83203125" style="10"/>
    <col min="6" max="16384" width="10.83203125" style="3"/>
  </cols>
  <sheetData>
    <row r="1" spans="1:13" ht="32" customHeight="1">
      <c r="A1" s="1" t="s">
        <v>6</v>
      </c>
      <c r="B1" s="1" t="s">
        <v>7</v>
      </c>
      <c r="C1" s="1" t="s">
        <v>8</v>
      </c>
      <c r="D1" s="11" t="s">
        <v>29</v>
      </c>
      <c r="E1" s="9" t="s">
        <v>28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15</v>
      </c>
    </row>
    <row r="2" spans="1:13" ht="32" customHeight="1">
      <c r="A2" s="1">
        <v>1</v>
      </c>
      <c r="B2" s="1">
        <v>15</v>
      </c>
      <c r="C2" s="1">
        <v>20</v>
      </c>
      <c r="D2" s="11">
        <v>20000</v>
      </c>
      <c r="E2" s="9">
        <f>D2*0.7</f>
        <v>14000</v>
      </c>
      <c r="F2" s="1">
        <v>6000</v>
      </c>
      <c r="G2" s="1">
        <v>7</v>
      </c>
      <c r="H2" s="1">
        <v>6</v>
      </c>
      <c r="I2" s="1">
        <f>G2+H2</f>
        <v>13</v>
      </c>
      <c r="J2" s="1">
        <v>4</v>
      </c>
      <c r="K2" s="1" t="s">
        <v>17</v>
      </c>
      <c r="L2" s="1" t="s">
        <v>17</v>
      </c>
      <c r="M2" s="1" t="s">
        <v>17</v>
      </c>
    </row>
    <row r="3" spans="1:13" ht="32" customHeight="1">
      <c r="A3" s="1">
        <v>2</v>
      </c>
      <c r="B3" s="1">
        <v>15</v>
      </c>
      <c r="C3" s="1">
        <v>20</v>
      </c>
      <c r="D3" s="11">
        <v>40000</v>
      </c>
      <c r="E3" s="9">
        <f>D3*0.7</f>
        <v>28000</v>
      </c>
      <c r="F3" s="1">
        <v>12000</v>
      </c>
      <c r="G3" s="1">
        <v>19</v>
      </c>
      <c r="H3" s="1">
        <v>10</v>
      </c>
      <c r="I3" s="1">
        <f t="shared" ref="I3:I16" si="0">G3+H3</f>
        <v>29</v>
      </c>
      <c r="J3" s="1">
        <v>8</v>
      </c>
      <c r="K3" s="1" t="s">
        <v>17</v>
      </c>
      <c r="L3" s="1" t="s">
        <v>17</v>
      </c>
      <c r="M3" s="1" t="s">
        <v>17</v>
      </c>
    </row>
    <row r="4" spans="1:13" ht="32" customHeight="1">
      <c r="A4" s="1">
        <v>3</v>
      </c>
      <c r="B4" s="1">
        <v>15</v>
      </c>
      <c r="C4" s="1">
        <v>20</v>
      </c>
      <c r="D4" s="11">
        <v>80000</v>
      </c>
      <c r="E4" s="9">
        <f>D4*0.7</f>
        <v>56000</v>
      </c>
      <c r="F4" s="1">
        <v>24000</v>
      </c>
      <c r="G4" s="1">
        <v>37</v>
      </c>
      <c r="H4" s="1">
        <v>20</v>
      </c>
      <c r="I4" s="1">
        <f t="shared" si="0"/>
        <v>57</v>
      </c>
      <c r="J4" s="1">
        <v>18</v>
      </c>
      <c r="K4" s="1" t="s">
        <v>17</v>
      </c>
      <c r="L4" s="1" t="s">
        <v>17</v>
      </c>
      <c r="M4" s="1" t="s">
        <v>17</v>
      </c>
    </row>
    <row r="5" spans="1:13" ht="32" customHeight="1">
      <c r="A5" s="1">
        <v>4</v>
      </c>
      <c r="B5" s="1">
        <v>15</v>
      </c>
      <c r="C5" s="1">
        <v>20</v>
      </c>
      <c r="D5" s="11">
        <v>126000</v>
      </c>
      <c r="E5" s="9">
        <f>D5*0.7</f>
        <v>88200</v>
      </c>
      <c r="F5" s="1">
        <v>37800</v>
      </c>
      <c r="G5" s="1">
        <v>60</v>
      </c>
      <c r="H5" s="1">
        <v>32</v>
      </c>
      <c r="I5" s="1">
        <f t="shared" si="0"/>
        <v>92</v>
      </c>
      <c r="J5" s="1">
        <v>29</v>
      </c>
      <c r="K5" s="1" t="s">
        <v>18</v>
      </c>
      <c r="L5" s="1" t="s">
        <v>17</v>
      </c>
      <c r="M5" s="1" t="s">
        <v>17</v>
      </c>
    </row>
    <row r="6" spans="1:13" ht="32" customHeight="1">
      <c r="A6" s="1">
        <v>5</v>
      </c>
      <c r="B6" s="1">
        <v>15</v>
      </c>
      <c r="C6" s="1">
        <v>20</v>
      </c>
      <c r="D6" s="11">
        <v>220000</v>
      </c>
      <c r="E6" s="9">
        <f>D6*0.7</f>
        <v>154000</v>
      </c>
      <c r="F6" s="1">
        <v>66000</v>
      </c>
      <c r="G6" s="1">
        <v>85</v>
      </c>
      <c r="H6" s="1">
        <v>65</v>
      </c>
      <c r="I6" s="1">
        <f t="shared" si="0"/>
        <v>150</v>
      </c>
      <c r="J6" s="1">
        <v>40</v>
      </c>
      <c r="K6" s="1" t="s">
        <v>19</v>
      </c>
      <c r="L6" s="1">
        <v>7</v>
      </c>
      <c r="M6" s="1">
        <v>7</v>
      </c>
    </row>
    <row r="7" spans="1:13" ht="32" customHeight="1">
      <c r="A7" s="1">
        <v>6</v>
      </c>
      <c r="B7" s="1">
        <v>10</v>
      </c>
      <c r="C7" s="1">
        <v>15</v>
      </c>
      <c r="D7" s="11">
        <v>320000</v>
      </c>
      <c r="E7" s="9">
        <f>D7*0.7</f>
        <v>224000</v>
      </c>
      <c r="F7" s="1">
        <v>96000</v>
      </c>
      <c r="G7" s="1">
        <v>130</v>
      </c>
      <c r="H7" s="1">
        <v>86</v>
      </c>
      <c r="I7" s="1">
        <f t="shared" si="0"/>
        <v>216</v>
      </c>
      <c r="J7" s="1">
        <v>56</v>
      </c>
      <c r="K7" s="1" t="s">
        <v>20</v>
      </c>
      <c r="L7" s="1">
        <v>7</v>
      </c>
      <c r="M7" s="1">
        <v>7</v>
      </c>
    </row>
    <row r="8" spans="1:13" ht="32" customHeight="1">
      <c r="A8" s="1">
        <v>7</v>
      </c>
      <c r="B8" s="1">
        <v>10</v>
      </c>
      <c r="C8" s="1">
        <v>15</v>
      </c>
      <c r="D8" s="11">
        <v>460000</v>
      </c>
      <c r="E8" s="9">
        <f>D8*0.7</f>
        <v>322000</v>
      </c>
      <c r="F8" s="1">
        <v>138000</v>
      </c>
      <c r="G8" s="1">
        <v>175</v>
      </c>
      <c r="H8" s="1">
        <v>115</v>
      </c>
      <c r="I8" s="1">
        <f t="shared" si="0"/>
        <v>290</v>
      </c>
      <c r="J8" s="1">
        <v>74</v>
      </c>
      <c r="K8" s="1" t="s">
        <v>21</v>
      </c>
      <c r="L8" s="1">
        <v>10</v>
      </c>
      <c r="M8" s="1">
        <v>10</v>
      </c>
    </row>
    <row r="9" spans="1:13" ht="32" customHeight="1">
      <c r="A9" s="1">
        <v>8</v>
      </c>
      <c r="B9" s="1">
        <v>10</v>
      </c>
      <c r="C9" s="1">
        <v>15</v>
      </c>
      <c r="D9" s="11">
        <v>580000</v>
      </c>
      <c r="E9" s="9">
        <f>D9*0.7</f>
        <v>406000</v>
      </c>
      <c r="F9" s="1">
        <v>174000</v>
      </c>
      <c r="G9" s="1">
        <v>210</v>
      </c>
      <c r="H9" s="1">
        <v>150</v>
      </c>
      <c r="I9" s="1">
        <f t="shared" si="0"/>
        <v>360</v>
      </c>
      <c r="J9" s="1">
        <v>92</v>
      </c>
      <c r="K9" s="1" t="s">
        <v>23</v>
      </c>
      <c r="L9" s="1">
        <v>10</v>
      </c>
      <c r="M9" s="1">
        <v>10</v>
      </c>
    </row>
    <row r="10" spans="1:13" ht="32" customHeight="1">
      <c r="A10" s="1">
        <v>9</v>
      </c>
      <c r="B10" s="1">
        <v>8</v>
      </c>
      <c r="C10" s="1">
        <v>12</v>
      </c>
      <c r="D10" s="11">
        <v>850000</v>
      </c>
      <c r="E10" s="9">
        <f>D10*0.7</f>
        <v>595000</v>
      </c>
      <c r="F10" s="1">
        <v>225000</v>
      </c>
      <c r="G10" s="1">
        <v>310</v>
      </c>
      <c r="H10" s="1">
        <v>230</v>
      </c>
      <c r="I10" s="1">
        <f t="shared" si="0"/>
        <v>540</v>
      </c>
      <c r="J10" s="1">
        <v>125</v>
      </c>
      <c r="K10" s="1" t="s">
        <v>24</v>
      </c>
      <c r="L10" s="1">
        <v>10</v>
      </c>
      <c r="M10" s="1">
        <v>10</v>
      </c>
    </row>
    <row r="11" spans="1:13" ht="32" customHeight="1">
      <c r="A11" s="1">
        <v>10</v>
      </c>
      <c r="B11" s="1">
        <v>8</v>
      </c>
      <c r="C11" s="1">
        <v>12</v>
      </c>
      <c r="D11" s="11">
        <v>1250000</v>
      </c>
      <c r="E11" s="9">
        <f>D11*0.7</f>
        <v>875000</v>
      </c>
      <c r="F11" s="1">
        <v>375000</v>
      </c>
      <c r="G11" s="1">
        <v>420</v>
      </c>
      <c r="H11" s="1">
        <v>348</v>
      </c>
      <c r="I11" s="1">
        <f t="shared" si="0"/>
        <v>768</v>
      </c>
      <c r="J11" s="1">
        <v>180</v>
      </c>
      <c r="K11" s="1" t="s">
        <v>25</v>
      </c>
      <c r="L11" s="1">
        <v>15</v>
      </c>
      <c r="M11" s="1">
        <v>15</v>
      </c>
    </row>
    <row r="12" spans="1:13" ht="32" customHeight="1">
      <c r="A12" s="1">
        <v>11</v>
      </c>
      <c r="B12" s="1">
        <v>8</v>
      </c>
      <c r="C12" s="1">
        <v>12</v>
      </c>
      <c r="D12" s="11">
        <v>1850000</v>
      </c>
      <c r="E12" s="9">
        <f>D12*0.7</f>
        <v>1295000</v>
      </c>
      <c r="F12" s="1">
        <v>555000</v>
      </c>
      <c r="G12" s="1">
        <v>560</v>
      </c>
      <c r="H12" s="1">
        <v>560</v>
      </c>
      <c r="I12" s="1">
        <f t="shared" si="0"/>
        <v>1120</v>
      </c>
      <c r="J12" s="1">
        <v>260</v>
      </c>
      <c r="K12" s="1" t="s">
        <v>26</v>
      </c>
      <c r="L12" s="1">
        <v>15</v>
      </c>
      <c r="M12" s="1">
        <v>15</v>
      </c>
    </row>
    <row r="13" spans="1:13" ht="32" customHeight="1">
      <c r="A13" s="1">
        <v>12</v>
      </c>
      <c r="B13" s="1">
        <v>0</v>
      </c>
      <c r="C13" s="1">
        <v>0</v>
      </c>
      <c r="D13" s="11">
        <v>3500000</v>
      </c>
      <c r="E13" s="9">
        <f>D13*0.7</f>
        <v>2450000</v>
      </c>
      <c r="F13" s="1">
        <v>1050000</v>
      </c>
      <c r="G13" s="1">
        <v>850</v>
      </c>
      <c r="H13" s="1">
        <v>1300</v>
      </c>
      <c r="I13" s="1">
        <f t="shared" si="0"/>
        <v>2150</v>
      </c>
      <c r="J13" s="1">
        <v>450</v>
      </c>
      <c r="K13" s="1" t="s">
        <v>27</v>
      </c>
      <c r="L13" s="1">
        <v>15</v>
      </c>
      <c r="M13" s="1">
        <v>15</v>
      </c>
    </row>
    <row r="14" spans="1:13" ht="32" customHeight="1">
      <c r="A14" s="1">
        <v>13</v>
      </c>
      <c r="B14" s="1">
        <v>0</v>
      </c>
      <c r="C14" s="1">
        <v>0</v>
      </c>
      <c r="D14" s="11">
        <v>5250000</v>
      </c>
      <c r="E14" s="9">
        <f>D14*0.7</f>
        <v>3674999.9999999995</v>
      </c>
      <c r="F14" s="1">
        <v>1575000</v>
      </c>
      <c r="G14" s="1">
        <v>1450</v>
      </c>
      <c r="H14" s="1">
        <v>1650</v>
      </c>
      <c r="I14" s="1">
        <f t="shared" si="0"/>
        <v>3100</v>
      </c>
      <c r="J14" s="1">
        <v>700</v>
      </c>
      <c r="K14" s="1" t="s">
        <v>27</v>
      </c>
      <c r="L14" s="1">
        <v>30</v>
      </c>
      <c r="M14" s="1">
        <v>30</v>
      </c>
    </row>
    <row r="15" spans="1:13" ht="32" customHeight="1">
      <c r="A15" s="1">
        <v>14</v>
      </c>
      <c r="B15" s="1">
        <v>0</v>
      </c>
      <c r="C15" s="1">
        <v>0</v>
      </c>
      <c r="D15" s="11">
        <v>7000000</v>
      </c>
      <c r="E15" s="9">
        <f>D15*0.7</f>
        <v>4900000</v>
      </c>
      <c r="F15" s="1">
        <v>2100000</v>
      </c>
      <c r="G15" s="1">
        <v>1600</v>
      </c>
      <c r="H15" s="1">
        <v>2500</v>
      </c>
      <c r="I15" s="1">
        <f t="shared" si="0"/>
        <v>4100</v>
      </c>
      <c r="J15" s="1">
        <v>900</v>
      </c>
      <c r="K15" s="1" t="s">
        <v>27</v>
      </c>
      <c r="L15" s="1">
        <v>30</v>
      </c>
      <c r="M15" s="1">
        <v>30</v>
      </c>
    </row>
    <row r="16" spans="1:13" ht="32" customHeight="1">
      <c r="A16" s="1">
        <v>15</v>
      </c>
      <c r="B16" s="1">
        <v>0</v>
      </c>
      <c r="C16" s="1">
        <v>0</v>
      </c>
      <c r="D16" s="11">
        <v>10500000</v>
      </c>
      <c r="E16" s="9">
        <f>D16*0.7</f>
        <v>7349999.9999999991</v>
      </c>
      <c r="F16" s="1">
        <v>3150000</v>
      </c>
      <c r="G16" s="1">
        <v>2500</v>
      </c>
      <c r="H16" s="1">
        <v>3600</v>
      </c>
      <c r="I16" s="1">
        <f t="shared" si="0"/>
        <v>6100</v>
      </c>
      <c r="J16" s="1">
        <v>1400</v>
      </c>
      <c r="K16" s="1" t="s">
        <v>27</v>
      </c>
      <c r="L16" s="1">
        <v>30</v>
      </c>
      <c r="M16" s="1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4DB-77B2-F24A-AA7F-052AE346AEA3}">
  <dimension ref="A1:P16"/>
  <sheetViews>
    <sheetView workbookViewId="0">
      <selection activeCell="K2" sqref="K2"/>
    </sheetView>
  </sheetViews>
  <sheetFormatPr baseColWidth="10" defaultRowHeight="32" customHeight="1"/>
  <cols>
    <col min="14" max="16" width="10.83203125" style="4"/>
  </cols>
  <sheetData>
    <row r="1" spans="1:16" s="3" customFormat="1" ht="32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15</v>
      </c>
      <c r="J1" s="1" t="s">
        <v>5</v>
      </c>
      <c r="K1" s="1" t="s">
        <v>0</v>
      </c>
      <c r="L1" s="1" t="s">
        <v>1</v>
      </c>
      <c r="M1" s="1" t="s">
        <v>22</v>
      </c>
      <c r="N1" s="2" t="s">
        <v>2</v>
      </c>
      <c r="O1" s="2" t="s">
        <v>4</v>
      </c>
      <c r="P1" s="2" t="s">
        <v>3</v>
      </c>
    </row>
    <row r="2" spans="1:16" ht="32" customHeight="1">
      <c r="A2" s="5">
        <v>1</v>
      </c>
      <c r="B2" s="5">
        <v>15</v>
      </c>
      <c r="C2" s="5">
        <v>25</v>
      </c>
      <c r="D2" s="5">
        <v>10000</v>
      </c>
      <c r="E2" s="5">
        <v>17</v>
      </c>
      <c r="F2" s="5">
        <v>3</v>
      </c>
      <c r="G2" s="5"/>
      <c r="H2" s="5"/>
      <c r="I2" s="5"/>
      <c r="J2" s="5">
        <f>E2+F2</f>
        <v>20</v>
      </c>
      <c r="K2" s="5">
        <f>D2/0.5/910</f>
        <v>21.978021978021978</v>
      </c>
      <c r="L2" s="5">
        <f>D2/0.5/861</f>
        <v>23.228803716608596</v>
      </c>
      <c r="M2" s="5">
        <f>D2/0.5/700</f>
        <v>28.571428571428573</v>
      </c>
      <c r="N2" s="6">
        <f>(K2-J2)/K2</f>
        <v>0.09</v>
      </c>
      <c r="O2" s="6">
        <f>(L2-J2)/L2</f>
        <v>0.13900000000000004</v>
      </c>
      <c r="P2" s="6">
        <f>(M2-J2)/M2</f>
        <v>0.30000000000000004</v>
      </c>
    </row>
    <row r="3" spans="1:16" ht="32" customHeight="1">
      <c r="A3" s="5">
        <v>2</v>
      </c>
      <c r="B3" s="5">
        <v>15</v>
      </c>
      <c r="C3" s="5">
        <v>20</v>
      </c>
      <c r="D3" s="5">
        <v>15000</v>
      </c>
      <c r="E3" s="5">
        <v>25</v>
      </c>
      <c r="F3" s="5">
        <v>5</v>
      </c>
      <c r="G3" s="5"/>
      <c r="H3" s="5"/>
      <c r="I3" s="5"/>
      <c r="J3" s="5">
        <f t="shared" ref="J3:J16" si="0">E3+F3</f>
        <v>30</v>
      </c>
      <c r="K3" s="5">
        <f t="shared" ref="K3:K16" si="1">D3/0.5/910</f>
        <v>32.967032967032964</v>
      </c>
      <c r="L3" s="5">
        <f t="shared" ref="L3:L16" si="2">D3/0.5/861</f>
        <v>34.843205574912893</v>
      </c>
      <c r="M3" s="5">
        <f t="shared" ref="M3:M16" si="3">D3/0.5/700</f>
        <v>42.857142857142854</v>
      </c>
      <c r="N3" s="6">
        <f t="shared" ref="N3:N16" si="4">(K3-J3)/K3</f>
        <v>8.99999999999999E-2</v>
      </c>
      <c r="O3" s="6">
        <f t="shared" ref="O3:O16" si="5">(L3-J3)/L3</f>
        <v>0.13900000000000004</v>
      </c>
      <c r="P3" s="6">
        <f t="shared" ref="P3:P16" si="6">(M3-J3)/M3</f>
        <v>0.29999999999999993</v>
      </c>
    </row>
    <row r="4" spans="1:16" ht="32" customHeight="1">
      <c r="A4" s="5">
        <v>3</v>
      </c>
      <c r="B4" s="8">
        <v>10</v>
      </c>
      <c r="C4" s="7">
        <v>15</v>
      </c>
      <c r="D4" s="5">
        <v>20000</v>
      </c>
      <c r="E4" s="5">
        <v>32</v>
      </c>
      <c r="F4" s="5">
        <v>8</v>
      </c>
      <c r="G4" s="5"/>
      <c r="H4" s="5"/>
      <c r="I4" s="5"/>
      <c r="J4" s="5">
        <f t="shared" si="0"/>
        <v>40</v>
      </c>
      <c r="K4" s="5">
        <f t="shared" si="1"/>
        <v>43.956043956043956</v>
      </c>
      <c r="L4" s="5">
        <f t="shared" si="2"/>
        <v>46.457607433217191</v>
      </c>
      <c r="M4" s="5">
        <f t="shared" si="3"/>
        <v>57.142857142857146</v>
      </c>
      <c r="N4" s="6">
        <f t="shared" si="4"/>
        <v>0.09</v>
      </c>
      <c r="O4" s="6">
        <f t="shared" si="5"/>
        <v>0.13900000000000004</v>
      </c>
      <c r="P4" s="6">
        <f t="shared" si="6"/>
        <v>0.30000000000000004</v>
      </c>
    </row>
    <row r="5" spans="1:16" ht="32" customHeight="1">
      <c r="A5" s="5">
        <v>4</v>
      </c>
      <c r="B5" s="8"/>
      <c r="C5" s="7"/>
      <c r="D5" s="5">
        <v>25000</v>
      </c>
      <c r="E5" s="5">
        <v>37</v>
      </c>
      <c r="F5" s="5">
        <v>11</v>
      </c>
      <c r="G5" s="5"/>
      <c r="H5" s="5"/>
      <c r="I5" s="5"/>
      <c r="J5" s="5">
        <f t="shared" si="0"/>
        <v>48</v>
      </c>
      <c r="K5" s="5">
        <f t="shared" si="1"/>
        <v>54.945054945054942</v>
      </c>
      <c r="L5" s="5">
        <f t="shared" si="2"/>
        <v>58.072009291521489</v>
      </c>
      <c r="M5" s="5">
        <f t="shared" si="3"/>
        <v>71.428571428571431</v>
      </c>
      <c r="N5" s="6">
        <f t="shared" si="4"/>
        <v>0.12639999999999996</v>
      </c>
      <c r="O5" s="6">
        <f t="shared" si="5"/>
        <v>0.17344000000000004</v>
      </c>
      <c r="P5" s="6">
        <f t="shared" si="6"/>
        <v>0.32800000000000001</v>
      </c>
    </row>
    <row r="6" spans="1:16" ht="32" customHeight="1">
      <c r="A6" s="5">
        <v>5</v>
      </c>
      <c r="B6" s="8"/>
      <c r="C6" s="7"/>
      <c r="D6" s="5">
        <v>30000</v>
      </c>
      <c r="E6" s="5">
        <v>47</v>
      </c>
      <c r="F6" s="5">
        <v>13</v>
      </c>
      <c r="G6" s="5"/>
      <c r="H6" s="5"/>
      <c r="I6" s="5"/>
      <c r="J6" s="5">
        <f t="shared" si="0"/>
        <v>60</v>
      </c>
      <c r="K6" s="5">
        <f t="shared" si="1"/>
        <v>65.934065934065927</v>
      </c>
      <c r="L6" s="5">
        <f t="shared" si="2"/>
        <v>69.686411149825787</v>
      </c>
      <c r="M6" s="5">
        <f t="shared" si="3"/>
        <v>85.714285714285708</v>
      </c>
      <c r="N6" s="6">
        <f t="shared" si="4"/>
        <v>8.99999999999999E-2</v>
      </c>
      <c r="O6" s="6">
        <f t="shared" si="5"/>
        <v>0.13900000000000004</v>
      </c>
      <c r="P6" s="6">
        <f t="shared" si="6"/>
        <v>0.29999999999999993</v>
      </c>
    </row>
    <row r="7" spans="1:16" ht="32" customHeight="1">
      <c r="A7" s="5">
        <v>6</v>
      </c>
      <c r="B7" s="8"/>
      <c r="C7" s="7"/>
      <c r="D7" s="5">
        <v>35000</v>
      </c>
      <c r="E7" s="5">
        <v>57</v>
      </c>
      <c r="F7" s="5">
        <v>15</v>
      </c>
      <c r="G7" s="5"/>
      <c r="H7" s="5"/>
      <c r="I7" s="5"/>
      <c r="J7" s="5">
        <f t="shared" si="0"/>
        <v>72</v>
      </c>
      <c r="K7" s="5">
        <f t="shared" si="1"/>
        <v>76.92307692307692</v>
      </c>
      <c r="L7" s="5">
        <f t="shared" si="2"/>
        <v>81.300813008130078</v>
      </c>
      <c r="M7" s="5">
        <f t="shared" si="3"/>
        <v>100</v>
      </c>
      <c r="N7" s="6">
        <f t="shared" si="4"/>
        <v>6.399999999999996E-2</v>
      </c>
      <c r="O7" s="6">
        <f t="shared" si="5"/>
        <v>0.11439999999999996</v>
      </c>
      <c r="P7" s="6">
        <f t="shared" si="6"/>
        <v>0.28000000000000003</v>
      </c>
    </row>
    <row r="8" spans="1:16" ht="32" customHeight="1">
      <c r="A8" s="5">
        <v>7</v>
      </c>
      <c r="B8" s="8"/>
      <c r="C8" s="7"/>
      <c r="D8" s="5">
        <v>50000</v>
      </c>
      <c r="E8" s="5">
        <v>77</v>
      </c>
      <c r="F8" s="5">
        <v>18</v>
      </c>
      <c r="G8" s="5"/>
      <c r="H8" s="5"/>
      <c r="I8" s="5"/>
      <c r="J8" s="5">
        <f t="shared" si="0"/>
        <v>95</v>
      </c>
      <c r="K8" s="5">
        <f t="shared" si="1"/>
        <v>109.89010989010988</v>
      </c>
      <c r="L8" s="5">
        <f t="shared" si="2"/>
        <v>116.14401858304298</v>
      </c>
      <c r="M8" s="5">
        <f t="shared" si="3"/>
        <v>142.85714285714286</v>
      </c>
      <c r="N8" s="6">
        <f t="shared" si="4"/>
        <v>0.13549999999999995</v>
      </c>
      <c r="O8" s="6">
        <f t="shared" si="5"/>
        <v>0.18205000000000005</v>
      </c>
      <c r="P8" s="6">
        <f t="shared" si="6"/>
        <v>0.33500000000000002</v>
      </c>
    </row>
    <row r="9" spans="1:16" ht="32" customHeight="1">
      <c r="A9" s="5">
        <v>8</v>
      </c>
      <c r="B9" s="8"/>
      <c r="C9" s="7"/>
      <c r="D9" s="5">
        <v>75000</v>
      </c>
      <c r="E9" s="5">
        <v>117</v>
      </c>
      <c r="F9" s="5">
        <v>21</v>
      </c>
      <c r="G9" s="5"/>
      <c r="H9" s="5"/>
      <c r="I9" s="5"/>
      <c r="J9" s="5">
        <f t="shared" si="0"/>
        <v>138</v>
      </c>
      <c r="K9" s="5">
        <f t="shared" si="1"/>
        <v>164.83516483516485</v>
      </c>
      <c r="L9" s="5">
        <f t="shared" si="2"/>
        <v>174.21602787456445</v>
      </c>
      <c r="M9" s="5">
        <f t="shared" si="3"/>
        <v>214.28571428571428</v>
      </c>
      <c r="N9" s="6">
        <f t="shared" si="4"/>
        <v>0.16280000000000006</v>
      </c>
      <c r="O9" s="6">
        <f t="shared" si="5"/>
        <v>0.20787999999999993</v>
      </c>
      <c r="P9" s="6">
        <f t="shared" si="6"/>
        <v>0.35599999999999998</v>
      </c>
    </row>
    <row r="10" spans="1:16" ht="32" customHeight="1">
      <c r="A10" s="5">
        <v>9</v>
      </c>
      <c r="B10" s="8"/>
      <c r="C10" s="7"/>
      <c r="D10" s="5">
        <v>100000</v>
      </c>
      <c r="E10" s="5">
        <v>154</v>
      </c>
      <c r="F10" s="5">
        <v>26</v>
      </c>
      <c r="G10" s="5"/>
      <c r="H10" s="5"/>
      <c r="I10" s="5"/>
      <c r="J10" s="5">
        <f t="shared" si="0"/>
        <v>180</v>
      </c>
      <c r="K10" s="5">
        <f t="shared" si="1"/>
        <v>219.78021978021977</v>
      </c>
      <c r="L10" s="5">
        <f t="shared" si="2"/>
        <v>232.28803716608596</v>
      </c>
      <c r="M10" s="5">
        <f t="shared" si="3"/>
        <v>285.71428571428572</v>
      </c>
      <c r="N10" s="6">
        <f t="shared" si="4"/>
        <v>0.18099999999999994</v>
      </c>
      <c r="O10" s="6">
        <f t="shared" si="5"/>
        <v>0.22510000000000002</v>
      </c>
      <c r="P10" s="6">
        <f t="shared" si="6"/>
        <v>0.37</v>
      </c>
    </row>
    <row r="11" spans="1:16" ht="32" customHeight="1">
      <c r="A11" s="5">
        <v>10</v>
      </c>
      <c r="B11" s="8"/>
      <c r="C11" s="7"/>
      <c r="D11" s="5">
        <v>150000</v>
      </c>
      <c r="E11" s="5">
        <v>232</v>
      </c>
      <c r="F11" s="5">
        <v>37</v>
      </c>
      <c r="G11" s="5"/>
      <c r="H11" s="5"/>
      <c r="I11" s="5"/>
      <c r="J11" s="5">
        <f t="shared" si="0"/>
        <v>269</v>
      </c>
      <c r="K11" s="5">
        <f t="shared" si="1"/>
        <v>329.67032967032969</v>
      </c>
      <c r="L11" s="5">
        <f t="shared" si="2"/>
        <v>348.43205574912889</v>
      </c>
      <c r="M11" s="5">
        <f t="shared" si="3"/>
        <v>428.57142857142856</v>
      </c>
      <c r="N11" s="6">
        <f t="shared" si="4"/>
        <v>0.18403333333333338</v>
      </c>
      <c r="O11" s="6">
        <f t="shared" si="5"/>
        <v>0.22796999999999995</v>
      </c>
      <c r="P11" s="6">
        <f t="shared" si="6"/>
        <v>0.37233333333333329</v>
      </c>
    </row>
    <row r="12" spans="1:16" ht="32" customHeight="1">
      <c r="A12" s="5">
        <v>11</v>
      </c>
      <c r="B12" s="8"/>
      <c r="C12" s="7"/>
      <c r="D12" s="5">
        <v>250000</v>
      </c>
      <c r="E12" s="5">
        <v>372</v>
      </c>
      <c r="F12" s="5">
        <v>61</v>
      </c>
      <c r="G12" s="5"/>
      <c r="H12" s="5"/>
      <c r="I12" s="5"/>
      <c r="J12" s="5">
        <f t="shared" si="0"/>
        <v>433</v>
      </c>
      <c r="K12" s="5">
        <f t="shared" si="1"/>
        <v>549.45054945054949</v>
      </c>
      <c r="L12" s="5">
        <f t="shared" si="2"/>
        <v>580.72009291521488</v>
      </c>
      <c r="M12" s="5">
        <f t="shared" si="3"/>
        <v>714.28571428571433</v>
      </c>
      <c r="N12" s="6">
        <f t="shared" si="4"/>
        <v>0.21194000000000005</v>
      </c>
      <c r="O12" s="6">
        <f t="shared" si="5"/>
        <v>0.25437399999999999</v>
      </c>
      <c r="P12" s="6">
        <f t="shared" si="6"/>
        <v>0.39380000000000004</v>
      </c>
    </row>
    <row r="13" spans="1:16" ht="32" customHeight="1">
      <c r="A13" s="5">
        <v>12</v>
      </c>
      <c r="B13" s="8"/>
      <c r="C13" s="7"/>
      <c r="D13" s="5">
        <v>350000</v>
      </c>
      <c r="E13" s="5">
        <v>532</v>
      </c>
      <c r="F13" s="5">
        <v>71</v>
      </c>
      <c r="G13" s="5"/>
      <c r="H13" s="5"/>
      <c r="I13" s="5"/>
      <c r="J13" s="5">
        <f t="shared" si="0"/>
        <v>603</v>
      </c>
      <c r="K13" s="5">
        <f t="shared" si="1"/>
        <v>769.23076923076928</v>
      </c>
      <c r="L13" s="5">
        <f t="shared" si="2"/>
        <v>813.00813008130081</v>
      </c>
      <c r="M13" s="5">
        <f t="shared" si="3"/>
        <v>1000</v>
      </c>
      <c r="N13" s="6">
        <f t="shared" si="4"/>
        <v>0.21610000000000004</v>
      </c>
      <c r="O13" s="6">
        <f t="shared" si="5"/>
        <v>0.25830999999999998</v>
      </c>
      <c r="P13" s="6">
        <f t="shared" si="6"/>
        <v>0.39700000000000002</v>
      </c>
    </row>
    <row r="14" spans="1:16" ht="32" customHeight="1">
      <c r="A14" s="5">
        <v>13</v>
      </c>
      <c r="B14" s="8"/>
      <c r="C14" s="7"/>
      <c r="D14" s="5">
        <v>500000</v>
      </c>
      <c r="E14" s="5">
        <v>772</v>
      </c>
      <c r="F14" s="5">
        <v>86</v>
      </c>
      <c r="G14" s="5"/>
      <c r="H14" s="5"/>
      <c r="I14" s="5"/>
      <c r="J14" s="5">
        <f t="shared" si="0"/>
        <v>858</v>
      </c>
      <c r="K14" s="5">
        <f t="shared" si="1"/>
        <v>1098.901098901099</v>
      </c>
      <c r="L14" s="5">
        <f t="shared" si="2"/>
        <v>1161.4401858304298</v>
      </c>
      <c r="M14" s="5">
        <f t="shared" si="3"/>
        <v>1428.5714285714287</v>
      </c>
      <c r="N14" s="6">
        <f t="shared" si="4"/>
        <v>0.21922000000000005</v>
      </c>
      <c r="O14" s="6">
        <f t="shared" si="5"/>
        <v>0.26126199999999999</v>
      </c>
      <c r="P14" s="6">
        <f t="shared" si="6"/>
        <v>0.39940000000000003</v>
      </c>
    </row>
    <row r="15" spans="1:16" ht="32" customHeight="1">
      <c r="A15" s="5">
        <v>14</v>
      </c>
      <c r="B15" s="8"/>
      <c r="C15" s="7"/>
      <c r="D15" s="5">
        <v>750000</v>
      </c>
      <c r="E15" s="5">
        <v>1202</v>
      </c>
      <c r="F15" s="5">
        <v>151</v>
      </c>
      <c r="G15" s="5"/>
      <c r="H15" s="5"/>
      <c r="I15" s="5"/>
      <c r="J15" s="5">
        <f t="shared" si="0"/>
        <v>1353</v>
      </c>
      <c r="K15" s="5">
        <f t="shared" si="1"/>
        <v>1648.3516483516485</v>
      </c>
      <c r="L15" s="5">
        <f t="shared" si="2"/>
        <v>1742.1602787456445</v>
      </c>
      <c r="M15" s="5">
        <f t="shared" si="3"/>
        <v>2142.8571428571427</v>
      </c>
      <c r="N15" s="6">
        <f t="shared" si="4"/>
        <v>0.17918000000000006</v>
      </c>
      <c r="O15" s="6">
        <f t="shared" si="5"/>
        <v>0.22337799999999997</v>
      </c>
      <c r="P15" s="6">
        <f t="shared" si="6"/>
        <v>0.36859999999999993</v>
      </c>
    </row>
    <row r="16" spans="1:16" ht="32" customHeight="1">
      <c r="A16" s="5">
        <v>15</v>
      </c>
      <c r="B16" s="8"/>
      <c r="C16" s="7"/>
      <c r="D16" s="5">
        <v>1000000</v>
      </c>
      <c r="E16" s="5">
        <v>1522</v>
      </c>
      <c r="F16" s="5">
        <v>251</v>
      </c>
      <c r="G16" s="5"/>
      <c r="H16" s="5"/>
      <c r="I16" s="5"/>
      <c r="J16" s="5">
        <f t="shared" si="0"/>
        <v>1773</v>
      </c>
      <c r="K16" s="5">
        <f t="shared" si="1"/>
        <v>2197.802197802198</v>
      </c>
      <c r="L16" s="5">
        <f t="shared" si="2"/>
        <v>2322.8803716608595</v>
      </c>
      <c r="M16" s="5">
        <f t="shared" si="3"/>
        <v>2857.1428571428573</v>
      </c>
      <c r="N16" s="6">
        <f t="shared" si="4"/>
        <v>0.19328500000000007</v>
      </c>
      <c r="O16" s="6">
        <f t="shared" si="5"/>
        <v>0.2367235</v>
      </c>
      <c r="P16" s="6">
        <f t="shared" si="6"/>
        <v>0.37945000000000007</v>
      </c>
    </row>
  </sheetData>
  <mergeCells count="2">
    <mergeCell ref="C4:C16"/>
    <mergeCell ref="B4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binmo</vt:lpstr>
      <vt:lpstr>haki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2022-07-25T02:28:53Z</dcterms:created>
  <dcterms:modified xsi:type="dcterms:W3CDTF">2022-08-09T11:32:51Z</dcterms:modified>
</cp:coreProperties>
</file>