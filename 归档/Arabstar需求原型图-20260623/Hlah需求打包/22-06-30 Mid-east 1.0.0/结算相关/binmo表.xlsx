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6-30 Mid-east 1.0.0/结算相关/"/>
    </mc:Choice>
  </mc:AlternateContent>
  <xr:revisionPtr revIDLastSave="0" documentId="13_ncr:1_{4F668C35-32F9-A643-A7E8-4BE98E2C05F0}" xr6:coauthVersionLast="47" xr6:coauthVersionMax="47" xr10:uidLastSave="{00000000-0000-0000-0000-000000000000}"/>
  <bookViews>
    <workbookView xWindow="0" yWindow="500" windowWidth="35840" windowHeight="21900" xr2:uid="{B7FE8970-52A5-ED4F-BDD1-E64C97CBF94E}"/>
  </bookViews>
  <sheets>
    <sheet name="binmo" sheetId="1" r:id="rId1"/>
    <sheet name="hak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2" i="1"/>
  <c r="X2" i="1"/>
  <c r="X3" i="1"/>
  <c r="X4" i="1"/>
  <c r="X5" i="1"/>
  <c r="X6" i="1"/>
  <c r="X7" i="1"/>
  <c r="Z7" i="1"/>
  <c r="X8" i="1"/>
  <c r="X9" i="1"/>
  <c r="X10" i="1"/>
  <c r="X11" i="1"/>
  <c r="X12" i="1"/>
  <c r="X13" i="1"/>
  <c r="X14" i="1"/>
  <c r="X15" i="1"/>
  <c r="X16" i="1"/>
  <c r="P3" i="1"/>
  <c r="P4" i="1"/>
  <c r="Y4" i="1" s="1"/>
  <c r="P5" i="1"/>
  <c r="Y5" i="1" s="1"/>
  <c r="P6" i="1"/>
  <c r="P7" i="1"/>
  <c r="P8" i="1"/>
  <c r="P9" i="1"/>
  <c r="P10" i="1"/>
  <c r="P11" i="1"/>
  <c r="Y11" i="1" s="1"/>
  <c r="P12" i="1"/>
  <c r="Y12" i="1" s="1"/>
  <c r="P13" i="1"/>
  <c r="P14" i="1"/>
  <c r="Y14" i="1" s="1"/>
  <c r="P15" i="1"/>
  <c r="Y15" i="1" s="1"/>
  <c r="P16" i="1"/>
  <c r="Y16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P2" i="1"/>
  <c r="O2" i="1"/>
  <c r="N2" i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2" i="2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H3" i="1"/>
  <c r="M3" i="1" s="1"/>
  <c r="Z3" i="1" s="1"/>
  <c r="H4" i="1"/>
  <c r="M4" i="1" s="1"/>
  <c r="Z4" i="1" s="1"/>
  <c r="H5" i="1"/>
  <c r="H6" i="1"/>
  <c r="M6" i="1" s="1"/>
  <c r="Z6" i="1" s="1"/>
  <c r="H7" i="1"/>
  <c r="M7" i="1" s="1"/>
  <c r="H8" i="1"/>
  <c r="M8" i="1" s="1"/>
  <c r="Z8" i="1" s="1"/>
  <c r="H9" i="1"/>
  <c r="M9" i="1" s="1"/>
  <c r="Z9" i="1" s="1"/>
  <c r="H10" i="1"/>
  <c r="M10" i="1" s="1"/>
  <c r="Z10" i="1" s="1"/>
  <c r="H11" i="1"/>
  <c r="M11" i="1" s="1"/>
  <c r="Z11" i="1" s="1"/>
  <c r="AA11" i="1" s="1"/>
  <c r="H12" i="1"/>
  <c r="M12" i="1" s="1"/>
  <c r="Z12" i="1" s="1"/>
  <c r="H13" i="1"/>
  <c r="M13" i="1" s="1"/>
  <c r="Z13" i="1" s="1"/>
  <c r="H14" i="1"/>
  <c r="M14" i="1" s="1"/>
  <c r="Z14" i="1" s="1"/>
  <c r="H15" i="1"/>
  <c r="M15" i="1" s="1"/>
  <c r="Z15" i="1" s="1"/>
  <c r="H16" i="1"/>
  <c r="M16" i="1" s="1"/>
  <c r="Z16" i="1" s="1"/>
  <c r="H2" i="1"/>
  <c r="M2" i="1" s="1"/>
  <c r="Z2" i="1" s="1"/>
  <c r="M5" i="1"/>
  <c r="Z5" i="1" s="1"/>
  <c r="AA5" i="1" s="1"/>
  <c r="Y10" i="1" l="1"/>
  <c r="Y9" i="1"/>
  <c r="AA14" i="1"/>
  <c r="Y8" i="1"/>
  <c r="AA13" i="1"/>
  <c r="Y7" i="1"/>
  <c r="Y6" i="1"/>
  <c r="AA10" i="1"/>
  <c r="AA4" i="1"/>
  <c r="Y13" i="1"/>
  <c r="AA2" i="1"/>
  <c r="AA15" i="1"/>
  <c r="AA3" i="1"/>
  <c r="AA12" i="1"/>
  <c r="AA7" i="1"/>
  <c r="AA16" i="1"/>
  <c r="Y3" i="1"/>
  <c r="AA8" i="1"/>
  <c r="AA6" i="1"/>
  <c r="AA9" i="1"/>
  <c r="Y2" i="1"/>
  <c r="R12" i="1"/>
  <c r="R11" i="1"/>
  <c r="S12" i="1"/>
  <c r="S10" i="1"/>
  <c r="Q10" i="1"/>
  <c r="S14" i="1"/>
  <c r="Q9" i="1"/>
  <c r="S13" i="1"/>
  <c r="R10" i="1"/>
  <c r="R9" i="1"/>
  <c r="S11" i="1"/>
  <c r="S9" i="1"/>
  <c r="S7" i="1"/>
  <c r="S8" i="1"/>
  <c r="S5" i="1"/>
  <c r="S4" i="1"/>
  <c r="Q8" i="1"/>
  <c r="Q7" i="1"/>
  <c r="Q6" i="1"/>
  <c r="S2" i="1"/>
  <c r="Q5" i="1"/>
  <c r="R7" i="1"/>
  <c r="S6" i="1"/>
  <c r="R8" i="1"/>
  <c r="Q16" i="1"/>
  <c r="Q4" i="1"/>
  <c r="R6" i="1"/>
  <c r="Q15" i="1"/>
  <c r="Q3" i="1"/>
  <c r="R5" i="1"/>
  <c r="Q14" i="1"/>
  <c r="R16" i="1"/>
  <c r="R4" i="1"/>
  <c r="Q13" i="1"/>
  <c r="R15" i="1"/>
  <c r="R3" i="1"/>
  <c r="Q12" i="1"/>
  <c r="R14" i="1"/>
  <c r="S16" i="1"/>
  <c r="Q11" i="1"/>
  <c r="R13" i="1"/>
  <c r="S15" i="1"/>
  <c r="S3" i="1"/>
  <c r="Q2" i="1"/>
  <c r="R2" i="1"/>
</calcChain>
</file>

<file path=xl/sharedStrings.xml><?xml version="1.0" encoding="utf-8"?>
<sst xmlns="http://schemas.openxmlformats.org/spreadsheetml/2006/main" count="60" uniqueCount="31">
  <si>
    <t>$1=910金币成本</t>
    <phoneticPr fontId="1" type="noConversion"/>
  </si>
  <si>
    <t>$1=861金币成本</t>
    <phoneticPr fontId="1" type="noConversion"/>
  </si>
  <si>
    <t>910利润率</t>
    <phoneticPr fontId="1" type="noConversion"/>
  </si>
  <si>
    <t>700利润率</t>
    <phoneticPr fontId="1" type="noConversion"/>
  </si>
  <si>
    <t>861利润率</t>
    <phoneticPr fontId="1" type="noConversion"/>
  </si>
  <si>
    <t>面板支出美元</t>
    <phoneticPr fontId="1" type="noConversion"/>
  </si>
  <si>
    <t>等级</t>
    <phoneticPr fontId="1" type="noConversion"/>
  </si>
  <si>
    <t>天数</t>
    <phoneticPr fontId="1" type="noConversion"/>
  </si>
  <si>
    <t>小时</t>
    <phoneticPr fontId="1" type="noConversion"/>
  </si>
  <si>
    <t>目标钻石</t>
    <phoneticPr fontId="1" type="noConversion"/>
  </si>
  <si>
    <t>冻结金币结算美元收益</t>
    <phoneticPr fontId="1" type="noConversion"/>
  </si>
  <si>
    <t>钻石结算美元收益</t>
    <phoneticPr fontId="1" type="noConversion"/>
  </si>
  <si>
    <t>主播总收益</t>
    <phoneticPr fontId="1" type="noConversion"/>
  </si>
  <si>
    <t>代理总收益</t>
    <phoneticPr fontId="1" type="noConversion"/>
  </si>
  <si>
    <t>送vip</t>
    <phoneticPr fontId="1" type="noConversion"/>
  </si>
  <si>
    <t>送入场</t>
    <phoneticPr fontId="1" type="noConversion"/>
  </si>
  <si>
    <t>送头像框</t>
    <phoneticPr fontId="1" type="noConversion"/>
  </si>
  <si>
    <t>-</t>
    <phoneticPr fontId="1" type="noConversion"/>
  </si>
  <si>
    <t>1*7</t>
    <phoneticPr fontId="1" type="noConversion"/>
  </si>
  <si>
    <t>1*15</t>
    <phoneticPr fontId="1" type="noConversion"/>
  </si>
  <si>
    <t>1*30</t>
    <phoneticPr fontId="1" type="noConversion"/>
  </si>
  <si>
    <t>2*10</t>
    <phoneticPr fontId="1" type="noConversion"/>
  </si>
  <si>
    <t>$1=700金币成本</t>
    <phoneticPr fontId="1" type="noConversion"/>
  </si>
  <si>
    <t>2*15</t>
    <phoneticPr fontId="1" type="noConversion"/>
  </si>
  <si>
    <t>2*20</t>
    <phoneticPr fontId="1" type="noConversion"/>
  </si>
  <si>
    <t>2*25</t>
    <phoneticPr fontId="1" type="noConversion"/>
  </si>
  <si>
    <t>2*30</t>
    <phoneticPr fontId="1" type="noConversion"/>
  </si>
  <si>
    <t>3*30</t>
    <phoneticPr fontId="1" type="noConversion"/>
  </si>
  <si>
    <t>700并且2:1换光钻石</t>
    <phoneticPr fontId="1" type="noConversion"/>
  </si>
  <si>
    <t>700并1:1换光钻石</t>
    <phoneticPr fontId="1" type="noConversion"/>
  </si>
  <si>
    <t>目标金币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</si>
</sst>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74A0-88E9-7044-B0FC-C38A4E5BF246}">
  <dimension ref="A1:AA16"/>
  <sheetViews>
    <sheetView tabSelected="1" zoomScale="125" zoomScaleNormal="170" workbookViewId="0">
      <selection activeCell="F5" sqref="F5"/>
    </sheetView>
  </sheetViews>
  <sheetFormatPr baseColWidth="10" defaultRowHeight="32" customHeight="1"/>
  <cols>
    <col min="1" max="5" width="10.83203125" style="3"/>
    <col min="6" max="9" width="11" style="3" bestFit="1" customWidth="1"/>
    <col min="10" max="10" width="10.83203125" style="3"/>
    <col min="11" max="12" width="11" style="3" bestFit="1" customWidth="1"/>
    <col min="13" max="13" width="12.6640625" style="3" customWidth="1"/>
    <col min="14" max="14" width="16.6640625" style="3" customWidth="1"/>
    <col min="15" max="15" width="15.5" style="3" customWidth="1"/>
    <col min="16" max="16" width="16.33203125" style="3" customWidth="1"/>
    <col min="17" max="19" width="11" style="4" bestFit="1" customWidth="1"/>
    <col min="20" max="20" width="13" style="4" bestFit="1" customWidth="1"/>
    <col min="21" max="21" width="11" style="3" bestFit="1" customWidth="1"/>
    <col min="22" max="22" width="13" style="3" bestFit="1" customWidth="1"/>
    <col min="23" max="23" width="11" style="3" bestFit="1" customWidth="1"/>
    <col min="24" max="24" width="13" style="3" bestFit="1" customWidth="1"/>
    <col min="25" max="25" width="11" style="3" bestFit="1" customWidth="1"/>
    <col min="26" max="26" width="13" style="3" bestFit="1" customWidth="1"/>
    <col min="27" max="27" width="11" style="3" bestFit="1" customWidth="1"/>
    <col min="28" max="16384" width="10.83203125" style="3"/>
  </cols>
  <sheetData>
    <row r="1" spans="1:27" ht="32" customHeight="1">
      <c r="A1" s="1" t="s">
        <v>6</v>
      </c>
      <c r="B1" s="1" t="s">
        <v>7</v>
      </c>
      <c r="C1" s="1" t="s">
        <v>8</v>
      </c>
      <c r="D1" s="1" t="s">
        <v>30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15</v>
      </c>
      <c r="M1" s="1" t="s">
        <v>5</v>
      </c>
      <c r="N1" s="1" t="s">
        <v>0</v>
      </c>
      <c r="O1" s="1" t="s">
        <v>1</v>
      </c>
      <c r="P1" s="1" t="s">
        <v>22</v>
      </c>
      <c r="Q1" s="2" t="s">
        <v>2</v>
      </c>
      <c r="R1" s="2" t="s">
        <v>4</v>
      </c>
      <c r="S1" s="2" t="s">
        <v>3</v>
      </c>
      <c r="T1" s="3"/>
      <c r="U1" s="3" t="s">
        <v>28</v>
      </c>
      <c r="Y1" s="3" t="s">
        <v>29</v>
      </c>
    </row>
    <row r="2" spans="1:27" ht="32" customHeight="1">
      <c r="A2" s="1">
        <v>1</v>
      </c>
      <c r="B2" s="1">
        <v>15</v>
      </c>
      <c r="C2" s="1">
        <v>20</v>
      </c>
      <c r="D2" s="1">
        <v>20000</v>
      </c>
      <c r="E2" s="1">
        <v>6000</v>
      </c>
      <c r="F2" s="1">
        <v>7</v>
      </c>
      <c r="G2" s="1">
        <v>6</v>
      </c>
      <c r="H2" s="1">
        <f>F2+G2</f>
        <v>13</v>
      </c>
      <c r="I2" s="1">
        <v>4</v>
      </c>
      <c r="J2" s="1" t="s">
        <v>17</v>
      </c>
      <c r="K2" s="1" t="s">
        <v>17</v>
      </c>
      <c r="L2" s="1" t="s">
        <v>17</v>
      </c>
      <c r="M2" s="1">
        <f>H2+I2</f>
        <v>17</v>
      </c>
      <c r="N2" s="1">
        <f t="shared" ref="N2:N16" si="0">D2/910</f>
        <v>21.978021978021978</v>
      </c>
      <c r="O2" s="1">
        <f t="shared" ref="O2:O16" si="1">D2/861</f>
        <v>23.228803716608596</v>
      </c>
      <c r="P2" s="1">
        <f t="shared" ref="P2:P16" si="2">D2/700</f>
        <v>28.571428571428573</v>
      </c>
      <c r="Q2" s="2">
        <f>(N2-M2)/N2</f>
        <v>0.22650000000000001</v>
      </c>
      <c r="R2" s="2">
        <f>(O2-M2)/O2</f>
        <v>0.26815000000000005</v>
      </c>
      <c r="S2" s="2">
        <f>(P2-M2)/P2</f>
        <v>0.40500000000000003</v>
      </c>
      <c r="T2" s="3">
        <f>E2/2/700</f>
        <v>4.2857142857142856</v>
      </c>
      <c r="U2" s="2">
        <f>(P2-(F2+I2+T2))/P2</f>
        <v>0.46500000000000008</v>
      </c>
      <c r="V2" s="3">
        <f>E2/D2/2*M2</f>
        <v>2.5499999999999998</v>
      </c>
      <c r="W2" s="2">
        <f>(P2-(F2+I2+V2))/P2</f>
        <v>0.52575000000000005</v>
      </c>
      <c r="X2" s="3">
        <f>E2/700</f>
        <v>8.5714285714285712</v>
      </c>
      <c r="Y2" s="2">
        <f>(P2-(F2+X2+I2))/P2</f>
        <v>0.31500000000000011</v>
      </c>
      <c r="Z2" s="3">
        <f>E2/D2*M2</f>
        <v>5.0999999999999996</v>
      </c>
      <c r="AA2" s="2">
        <f>(P2-(F2+Z2+I2))/P2</f>
        <v>0.4365</v>
      </c>
    </row>
    <row r="3" spans="1:27" ht="32" customHeight="1">
      <c r="A3" s="1">
        <v>2</v>
      </c>
      <c r="B3" s="1">
        <v>15</v>
      </c>
      <c r="C3" s="1">
        <v>20</v>
      </c>
      <c r="D3" s="1">
        <v>40000</v>
      </c>
      <c r="E3" s="1">
        <v>12000</v>
      </c>
      <c r="F3" s="1">
        <v>19</v>
      </c>
      <c r="G3" s="1">
        <v>10</v>
      </c>
      <c r="H3" s="1">
        <f t="shared" ref="H3:H16" si="3">F3+G3</f>
        <v>29</v>
      </c>
      <c r="I3" s="1">
        <v>8</v>
      </c>
      <c r="J3" s="1" t="s">
        <v>17</v>
      </c>
      <c r="K3" s="1" t="s">
        <v>17</v>
      </c>
      <c r="L3" s="1" t="s">
        <v>17</v>
      </c>
      <c r="M3" s="1">
        <f>H3+I3</f>
        <v>37</v>
      </c>
      <c r="N3" s="1">
        <f t="shared" si="0"/>
        <v>43.956043956043956</v>
      </c>
      <c r="O3" s="1">
        <f t="shared" si="1"/>
        <v>46.457607433217191</v>
      </c>
      <c r="P3" s="1">
        <f t="shared" si="2"/>
        <v>57.142857142857146</v>
      </c>
      <c r="Q3" s="2">
        <f t="shared" ref="Q3:Q16" si="4">(N3-M3)/N3</f>
        <v>0.15825</v>
      </c>
      <c r="R3" s="2">
        <f t="shared" ref="R3:R16" si="5">(O3-M3)/O3</f>
        <v>0.20357500000000003</v>
      </c>
      <c r="S3" s="2">
        <f t="shared" ref="S3:S16" si="6">(P3-M3)/P3</f>
        <v>0.35250000000000004</v>
      </c>
      <c r="T3" s="3">
        <f t="shared" ref="T3:T16" si="7">E3/2/700</f>
        <v>8.5714285714285712</v>
      </c>
      <c r="U3" s="2">
        <f t="shared" ref="U3:U16" si="8">(P3-(F3+I3+T3))/P3</f>
        <v>0.37750000000000006</v>
      </c>
      <c r="V3" s="3">
        <f t="shared" ref="V3:V16" si="9">E3/D3/2*M3</f>
        <v>5.55</v>
      </c>
      <c r="W3" s="2">
        <f t="shared" ref="W3:W16" si="10">(P3-(F3+I3+V3))/P3</f>
        <v>0.43037500000000006</v>
      </c>
      <c r="X3" s="3">
        <f t="shared" ref="X3:X16" si="11">E3/700</f>
        <v>17.142857142857142</v>
      </c>
      <c r="Y3" s="2">
        <f t="shared" ref="Y3:Y16" si="12">(P3-(F3+X3+I3))/P3</f>
        <v>0.22750000000000012</v>
      </c>
      <c r="Z3" s="3">
        <f t="shared" ref="Z3:Z16" si="13">E3/D3*M3</f>
        <v>11.1</v>
      </c>
      <c r="AA3" s="2">
        <f t="shared" ref="AA3:AA16" si="14">(P3-(F3+Z3+I3))/P3</f>
        <v>0.33324999999999999</v>
      </c>
    </row>
    <row r="4" spans="1:27" ht="32" customHeight="1">
      <c r="A4" s="1">
        <v>3</v>
      </c>
      <c r="B4" s="1">
        <v>15</v>
      </c>
      <c r="C4" s="1">
        <v>20</v>
      </c>
      <c r="D4" s="1">
        <v>80000</v>
      </c>
      <c r="E4" s="1">
        <v>24000</v>
      </c>
      <c r="F4" s="1">
        <v>37</v>
      </c>
      <c r="G4" s="1">
        <v>20</v>
      </c>
      <c r="H4" s="1">
        <f t="shared" si="3"/>
        <v>57</v>
      </c>
      <c r="I4" s="1">
        <v>18</v>
      </c>
      <c r="J4" s="1" t="s">
        <v>17</v>
      </c>
      <c r="K4" s="1" t="s">
        <v>17</v>
      </c>
      <c r="L4" s="1" t="s">
        <v>17</v>
      </c>
      <c r="M4" s="1">
        <f t="shared" ref="M4:M16" si="15">H4+I4</f>
        <v>75</v>
      </c>
      <c r="N4" s="1">
        <f t="shared" si="0"/>
        <v>87.912087912087912</v>
      </c>
      <c r="O4" s="1">
        <f t="shared" si="1"/>
        <v>92.915214866434383</v>
      </c>
      <c r="P4" s="1">
        <f t="shared" si="2"/>
        <v>114.28571428571429</v>
      </c>
      <c r="Q4" s="2">
        <f t="shared" si="4"/>
        <v>0.14687500000000001</v>
      </c>
      <c r="R4" s="2">
        <f t="shared" si="5"/>
        <v>0.19281250000000003</v>
      </c>
      <c r="S4" s="2">
        <f t="shared" si="6"/>
        <v>0.34375000000000006</v>
      </c>
      <c r="T4" s="3">
        <f t="shared" si="7"/>
        <v>17.142857142857142</v>
      </c>
      <c r="U4" s="2">
        <f t="shared" si="8"/>
        <v>0.36875000000000008</v>
      </c>
      <c r="V4" s="3">
        <f t="shared" si="9"/>
        <v>11.25</v>
      </c>
      <c r="W4" s="2">
        <f t="shared" si="10"/>
        <v>0.42031250000000003</v>
      </c>
      <c r="X4" s="3">
        <f t="shared" si="11"/>
        <v>34.285714285714285</v>
      </c>
      <c r="Y4" s="2">
        <f t="shared" si="12"/>
        <v>0.21875000000000011</v>
      </c>
      <c r="Z4" s="3">
        <f t="shared" si="13"/>
        <v>22.5</v>
      </c>
      <c r="AA4" s="2">
        <f t="shared" si="14"/>
        <v>0.32187500000000002</v>
      </c>
    </row>
    <row r="5" spans="1:27" ht="32" customHeight="1">
      <c r="A5" s="1">
        <v>4</v>
      </c>
      <c r="B5" s="1">
        <v>15</v>
      </c>
      <c r="C5" s="1">
        <v>20</v>
      </c>
      <c r="D5" s="1">
        <v>126000</v>
      </c>
      <c r="E5" s="1">
        <v>37800</v>
      </c>
      <c r="F5" s="1">
        <v>60</v>
      </c>
      <c r="G5" s="1">
        <v>32</v>
      </c>
      <c r="H5" s="1">
        <f t="shared" si="3"/>
        <v>92</v>
      </c>
      <c r="I5" s="1">
        <v>29</v>
      </c>
      <c r="J5" s="1" t="s">
        <v>18</v>
      </c>
      <c r="K5" s="1" t="s">
        <v>17</v>
      </c>
      <c r="L5" s="1" t="s">
        <v>17</v>
      </c>
      <c r="M5" s="1">
        <f t="shared" si="15"/>
        <v>121</v>
      </c>
      <c r="N5" s="1">
        <f t="shared" si="0"/>
        <v>138.46153846153845</v>
      </c>
      <c r="O5" s="1">
        <f t="shared" si="1"/>
        <v>146.34146341463415</v>
      </c>
      <c r="P5" s="1">
        <f t="shared" si="2"/>
        <v>180</v>
      </c>
      <c r="Q5" s="2">
        <f t="shared" si="4"/>
        <v>0.12611111111111106</v>
      </c>
      <c r="R5" s="2">
        <f t="shared" si="5"/>
        <v>0.17316666666666669</v>
      </c>
      <c r="S5" s="2">
        <f t="shared" si="6"/>
        <v>0.32777777777777778</v>
      </c>
      <c r="T5" s="3">
        <f t="shared" si="7"/>
        <v>27</v>
      </c>
      <c r="U5" s="2">
        <f t="shared" si="8"/>
        <v>0.35555555555555557</v>
      </c>
      <c r="V5" s="3">
        <f t="shared" si="9"/>
        <v>18.149999999999999</v>
      </c>
      <c r="W5" s="2">
        <f t="shared" si="10"/>
        <v>0.40472222222222221</v>
      </c>
      <c r="X5" s="3">
        <f t="shared" si="11"/>
        <v>54</v>
      </c>
      <c r="Y5" s="2">
        <f t="shared" si="12"/>
        <v>0.20555555555555555</v>
      </c>
      <c r="Z5" s="3">
        <f t="shared" si="13"/>
        <v>36.299999999999997</v>
      </c>
      <c r="AA5" s="2">
        <f t="shared" si="14"/>
        <v>0.30388888888888893</v>
      </c>
    </row>
    <row r="6" spans="1:27" ht="32" customHeight="1">
      <c r="A6" s="1">
        <v>5</v>
      </c>
      <c r="B6" s="1">
        <v>15</v>
      </c>
      <c r="C6" s="1">
        <v>20</v>
      </c>
      <c r="D6" s="1">
        <v>220000</v>
      </c>
      <c r="E6" s="1">
        <v>66000</v>
      </c>
      <c r="F6" s="1">
        <v>85</v>
      </c>
      <c r="G6" s="1">
        <v>65</v>
      </c>
      <c r="H6" s="1">
        <f t="shared" si="3"/>
        <v>150</v>
      </c>
      <c r="I6" s="1">
        <v>40</v>
      </c>
      <c r="J6" s="1" t="s">
        <v>19</v>
      </c>
      <c r="K6" s="1">
        <v>7</v>
      </c>
      <c r="L6" s="1">
        <v>7</v>
      </c>
      <c r="M6" s="1">
        <f t="shared" si="15"/>
        <v>190</v>
      </c>
      <c r="N6" s="1">
        <f t="shared" si="0"/>
        <v>241.75824175824175</v>
      </c>
      <c r="O6" s="1">
        <f t="shared" si="1"/>
        <v>255.51684088269454</v>
      </c>
      <c r="P6" s="1">
        <f t="shared" si="2"/>
        <v>314.28571428571428</v>
      </c>
      <c r="Q6" s="2">
        <f t="shared" si="4"/>
        <v>0.21409090909090908</v>
      </c>
      <c r="R6" s="2">
        <f t="shared" si="5"/>
        <v>0.25640909090909092</v>
      </c>
      <c r="S6" s="2">
        <f t="shared" si="6"/>
        <v>0.39545454545454545</v>
      </c>
      <c r="T6" s="3">
        <f t="shared" si="7"/>
        <v>47.142857142857146</v>
      </c>
      <c r="U6" s="2">
        <f t="shared" si="8"/>
        <v>0.45227272727272727</v>
      </c>
      <c r="V6" s="3">
        <f t="shared" si="9"/>
        <v>28.5</v>
      </c>
      <c r="W6" s="2">
        <f t="shared" si="10"/>
        <v>0.5115909090909091</v>
      </c>
      <c r="X6" s="3">
        <f t="shared" si="11"/>
        <v>94.285714285714292</v>
      </c>
      <c r="Y6" s="2">
        <f t="shared" si="12"/>
        <v>0.3022727272727273</v>
      </c>
      <c r="Z6" s="3">
        <f t="shared" si="13"/>
        <v>57</v>
      </c>
      <c r="AA6" s="2">
        <f t="shared" si="14"/>
        <v>0.4209090909090909</v>
      </c>
    </row>
    <row r="7" spans="1:27" ht="32" customHeight="1">
      <c r="A7" s="1">
        <v>6</v>
      </c>
      <c r="B7" s="1">
        <v>10</v>
      </c>
      <c r="C7" s="1">
        <v>15</v>
      </c>
      <c r="D7" s="1">
        <v>320000</v>
      </c>
      <c r="E7" s="1">
        <v>96000</v>
      </c>
      <c r="F7" s="1">
        <v>130</v>
      </c>
      <c r="G7" s="1">
        <v>86</v>
      </c>
      <c r="H7" s="1">
        <f t="shared" si="3"/>
        <v>216</v>
      </c>
      <c r="I7" s="1">
        <v>56</v>
      </c>
      <c r="J7" s="1" t="s">
        <v>20</v>
      </c>
      <c r="K7" s="1">
        <v>7</v>
      </c>
      <c r="L7" s="1">
        <v>7</v>
      </c>
      <c r="M7" s="1">
        <f t="shared" si="15"/>
        <v>272</v>
      </c>
      <c r="N7" s="1">
        <f t="shared" si="0"/>
        <v>351.64835164835165</v>
      </c>
      <c r="O7" s="1">
        <f t="shared" si="1"/>
        <v>371.66085946573753</v>
      </c>
      <c r="P7" s="1">
        <f t="shared" si="2"/>
        <v>457.14285714285717</v>
      </c>
      <c r="Q7" s="2">
        <f t="shared" si="4"/>
        <v>0.22650000000000001</v>
      </c>
      <c r="R7" s="2">
        <f t="shared" si="5"/>
        <v>0.26815000000000005</v>
      </c>
      <c r="S7" s="2">
        <f t="shared" si="6"/>
        <v>0.40500000000000003</v>
      </c>
      <c r="T7" s="3">
        <f t="shared" si="7"/>
        <v>68.571428571428569</v>
      </c>
      <c r="U7" s="2">
        <f t="shared" si="8"/>
        <v>0.44312500000000005</v>
      </c>
      <c r="V7" s="3">
        <f t="shared" si="9"/>
        <v>40.799999999999997</v>
      </c>
      <c r="W7" s="2">
        <f t="shared" si="10"/>
        <v>0.50387499999999996</v>
      </c>
      <c r="X7" s="3">
        <f t="shared" si="11"/>
        <v>137.14285714285714</v>
      </c>
      <c r="Y7" s="2">
        <f t="shared" si="12"/>
        <v>0.29312500000000014</v>
      </c>
      <c r="Z7" s="3">
        <f t="shared" si="13"/>
        <v>81.599999999999994</v>
      </c>
      <c r="AA7" s="2">
        <f t="shared" si="14"/>
        <v>0.41462499999999997</v>
      </c>
    </row>
    <row r="8" spans="1:27" ht="32" customHeight="1">
      <c r="A8" s="1">
        <v>7</v>
      </c>
      <c r="B8" s="1">
        <v>10</v>
      </c>
      <c r="C8" s="1">
        <v>15</v>
      </c>
      <c r="D8" s="1">
        <v>460000</v>
      </c>
      <c r="E8" s="1">
        <v>138000</v>
      </c>
      <c r="F8" s="1">
        <v>175</v>
      </c>
      <c r="G8" s="1">
        <v>115</v>
      </c>
      <c r="H8" s="1">
        <f t="shared" si="3"/>
        <v>290</v>
      </c>
      <c r="I8" s="1">
        <v>74</v>
      </c>
      <c r="J8" s="1" t="s">
        <v>21</v>
      </c>
      <c r="K8" s="1">
        <v>10</v>
      </c>
      <c r="L8" s="1">
        <v>10</v>
      </c>
      <c r="M8" s="1">
        <f t="shared" si="15"/>
        <v>364</v>
      </c>
      <c r="N8" s="1">
        <f t="shared" si="0"/>
        <v>505.49450549450552</v>
      </c>
      <c r="O8" s="1">
        <f t="shared" si="1"/>
        <v>534.26248548199771</v>
      </c>
      <c r="P8" s="1">
        <f t="shared" si="2"/>
        <v>657.14285714285711</v>
      </c>
      <c r="Q8" s="2">
        <f t="shared" si="4"/>
        <v>0.2799130434782609</v>
      </c>
      <c r="R8" s="2">
        <f t="shared" si="5"/>
        <v>0.31868695652173917</v>
      </c>
      <c r="S8" s="2">
        <f t="shared" si="6"/>
        <v>0.44608695652173913</v>
      </c>
      <c r="T8" s="3">
        <f t="shared" si="7"/>
        <v>98.571428571428569</v>
      </c>
      <c r="U8" s="2">
        <f t="shared" si="8"/>
        <v>0.47108695652173915</v>
      </c>
      <c r="V8" s="3">
        <f t="shared" si="9"/>
        <v>54.6</v>
      </c>
      <c r="W8" s="2">
        <f t="shared" si="10"/>
        <v>0.53799999999999992</v>
      </c>
      <c r="X8" s="3">
        <f t="shared" si="11"/>
        <v>197.14285714285714</v>
      </c>
      <c r="Y8" s="2">
        <f t="shared" si="12"/>
        <v>0.32108695652173913</v>
      </c>
      <c r="Z8" s="3">
        <f t="shared" si="13"/>
        <v>109.2</v>
      </c>
      <c r="AA8" s="2">
        <f t="shared" si="14"/>
        <v>0.45491304347826084</v>
      </c>
    </row>
    <row r="9" spans="1:27" ht="32" customHeight="1">
      <c r="A9" s="1">
        <v>8</v>
      </c>
      <c r="B9" s="1">
        <v>10</v>
      </c>
      <c r="C9" s="1">
        <v>15</v>
      </c>
      <c r="D9" s="1">
        <v>580000</v>
      </c>
      <c r="E9" s="1">
        <v>174000</v>
      </c>
      <c r="F9" s="1">
        <v>210</v>
      </c>
      <c r="G9" s="1">
        <v>150</v>
      </c>
      <c r="H9" s="1">
        <f t="shared" si="3"/>
        <v>360</v>
      </c>
      <c r="I9" s="1">
        <v>92</v>
      </c>
      <c r="J9" s="1" t="s">
        <v>23</v>
      </c>
      <c r="K9" s="1">
        <v>10</v>
      </c>
      <c r="L9" s="1">
        <v>10</v>
      </c>
      <c r="M9" s="1">
        <f t="shared" si="15"/>
        <v>452</v>
      </c>
      <c r="N9" s="1">
        <f t="shared" si="0"/>
        <v>637.36263736263732</v>
      </c>
      <c r="O9" s="1">
        <f t="shared" si="1"/>
        <v>673.6353077816492</v>
      </c>
      <c r="P9" s="1">
        <f t="shared" si="2"/>
        <v>828.57142857142856</v>
      </c>
      <c r="Q9" s="2">
        <f t="shared" si="4"/>
        <v>0.29082758620689647</v>
      </c>
      <c r="R9" s="2">
        <f t="shared" si="5"/>
        <v>0.32901379310344825</v>
      </c>
      <c r="S9" s="2">
        <f t="shared" si="6"/>
        <v>0.45448275862068965</v>
      </c>
      <c r="T9" s="3">
        <f t="shared" si="7"/>
        <v>124.28571428571429</v>
      </c>
      <c r="U9" s="2">
        <f t="shared" si="8"/>
        <v>0.48551724137931035</v>
      </c>
      <c r="V9" s="3">
        <f t="shared" si="9"/>
        <v>67.8</v>
      </c>
      <c r="W9" s="2">
        <f t="shared" si="10"/>
        <v>0.55368965517241375</v>
      </c>
      <c r="X9" s="3">
        <f t="shared" si="11"/>
        <v>248.57142857142858</v>
      </c>
      <c r="Y9" s="2">
        <f t="shared" si="12"/>
        <v>0.33551724137931033</v>
      </c>
      <c r="Z9" s="3">
        <f t="shared" si="13"/>
        <v>135.6</v>
      </c>
      <c r="AA9" s="2">
        <f t="shared" si="14"/>
        <v>0.47186206896551719</v>
      </c>
    </row>
    <row r="10" spans="1:27" ht="32" customHeight="1">
      <c r="A10" s="1">
        <v>9</v>
      </c>
      <c r="B10" s="1">
        <v>8</v>
      </c>
      <c r="C10" s="1">
        <v>12</v>
      </c>
      <c r="D10" s="1">
        <v>850000</v>
      </c>
      <c r="E10" s="1">
        <v>225000</v>
      </c>
      <c r="F10" s="1">
        <v>310</v>
      </c>
      <c r="G10" s="1">
        <v>230</v>
      </c>
      <c r="H10" s="1">
        <f t="shared" si="3"/>
        <v>540</v>
      </c>
      <c r="I10" s="1">
        <v>125</v>
      </c>
      <c r="J10" s="1" t="s">
        <v>24</v>
      </c>
      <c r="K10" s="1">
        <v>10</v>
      </c>
      <c r="L10" s="1">
        <v>10</v>
      </c>
      <c r="M10" s="1">
        <f t="shared" si="15"/>
        <v>665</v>
      </c>
      <c r="N10" s="1">
        <f t="shared" si="0"/>
        <v>934.06593406593402</v>
      </c>
      <c r="O10" s="1">
        <f t="shared" si="1"/>
        <v>987.22415795586528</v>
      </c>
      <c r="P10" s="1">
        <f t="shared" si="2"/>
        <v>1214.2857142857142</v>
      </c>
      <c r="Q10" s="2">
        <f t="shared" si="4"/>
        <v>0.2880588235294117</v>
      </c>
      <c r="R10" s="2">
        <f t="shared" si="5"/>
        <v>0.32639411764705883</v>
      </c>
      <c r="S10" s="2">
        <f t="shared" si="6"/>
        <v>0.45235294117647057</v>
      </c>
      <c r="T10" s="3">
        <f t="shared" si="7"/>
        <v>160.71428571428572</v>
      </c>
      <c r="U10" s="2">
        <f t="shared" si="8"/>
        <v>0.50941176470588223</v>
      </c>
      <c r="V10" s="3">
        <f t="shared" si="9"/>
        <v>88.014705882352942</v>
      </c>
      <c r="W10" s="2">
        <f t="shared" si="10"/>
        <v>0.5692820069204152</v>
      </c>
      <c r="X10" s="3">
        <f t="shared" si="11"/>
        <v>321.42857142857144</v>
      </c>
      <c r="Y10" s="2">
        <f t="shared" si="12"/>
        <v>0.37705882352941172</v>
      </c>
      <c r="Z10" s="3">
        <f t="shared" si="13"/>
        <v>176.02941176470588</v>
      </c>
      <c r="AA10" s="2">
        <f t="shared" si="14"/>
        <v>0.49679930795847749</v>
      </c>
    </row>
    <row r="11" spans="1:27" ht="32" customHeight="1">
      <c r="A11" s="1">
        <v>10</v>
      </c>
      <c r="B11" s="1">
        <v>8</v>
      </c>
      <c r="C11" s="1">
        <v>12</v>
      </c>
      <c r="D11" s="1">
        <v>1250000</v>
      </c>
      <c r="E11" s="1">
        <v>375000</v>
      </c>
      <c r="F11" s="1">
        <v>420</v>
      </c>
      <c r="G11" s="1">
        <v>348</v>
      </c>
      <c r="H11" s="1">
        <f t="shared" si="3"/>
        <v>768</v>
      </c>
      <c r="I11" s="1">
        <v>180</v>
      </c>
      <c r="J11" s="1" t="s">
        <v>25</v>
      </c>
      <c r="K11" s="1">
        <v>15</v>
      </c>
      <c r="L11" s="1">
        <v>15</v>
      </c>
      <c r="M11" s="1">
        <f t="shared" si="15"/>
        <v>948</v>
      </c>
      <c r="N11" s="1">
        <f t="shared" si="0"/>
        <v>1373.6263736263736</v>
      </c>
      <c r="O11" s="1">
        <f t="shared" si="1"/>
        <v>1451.8002322880373</v>
      </c>
      <c r="P11" s="1">
        <f t="shared" si="2"/>
        <v>1785.7142857142858</v>
      </c>
      <c r="Q11" s="2">
        <f t="shared" si="4"/>
        <v>0.30985599999999996</v>
      </c>
      <c r="R11" s="2">
        <f t="shared" si="5"/>
        <v>0.34701760000000004</v>
      </c>
      <c r="S11" s="2">
        <f t="shared" si="6"/>
        <v>0.46912000000000004</v>
      </c>
      <c r="T11" s="3">
        <f t="shared" si="7"/>
        <v>267.85714285714283</v>
      </c>
      <c r="U11" s="2">
        <f t="shared" si="8"/>
        <v>0.51400000000000001</v>
      </c>
      <c r="V11" s="3">
        <f t="shared" si="9"/>
        <v>142.19999999999999</v>
      </c>
      <c r="W11" s="2">
        <f t="shared" si="10"/>
        <v>0.584368</v>
      </c>
      <c r="X11" s="3">
        <f t="shared" si="11"/>
        <v>535.71428571428567</v>
      </c>
      <c r="Y11" s="2">
        <f t="shared" si="12"/>
        <v>0.36399999999999999</v>
      </c>
      <c r="Z11" s="3">
        <f t="shared" si="13"/>
        <v>284.39999999999998</v>
      </c>
      <c r="AA11" s="2">
        <f t="shared" si="14"/>
        <v>0.50473600000000007</v>
      </c>
    </row>
    <row r="12" spans="1:27" ht="32" customHeight="1">
      <c r="A12" s="1">
        <v>11</v>
      </c>
      <c r="B12" s="1">
        <v>8</v>
      </c>
      <c r="C12" s="1">
        <v>12</v>
      </c>
      <c r="D12" s="1">
        <v>1850000</v>
      </c>
      <c r="E12" s="1">
        <v>555000</v>
      </c>
      <c r="F12" s="1">
        <v>560</v>
      </c>
      <c r="G12" s="1">
        <v>560</v>
      </c>
      <c r="H12" s="1">
        <f t="shared" si="3"/>
        <v>1120</v>
      </c>
      <c r="I12" s="1">
        <v>260</v>
      </c>
      <c r="J12" s="1" t="s">
        <v>26</v>
      </c>
      <c r="K12" s="1">
        <v>15</v>
      </c>
      <c r="L12" s="1">
        <v>15</v>
      </c>
      <c r="M12" s="1">
        <f t="shared" si="15"/>
        <v>1380</v>
      </c>
      <c r="N12" s="1">
        <f t="shared" si="0"/>
        <v>2032.967032967033</v>
      </c>
      <c r="O12" s="1">
        <f t="shared" si="1"/>
        <v>2148.6643437862949</v>
      </c>
      <c r="P12" s="1">
        <f t="shared" si="2"/>
        <v>2642.8571428571427</v>
      </c>
      <c r="Q12" s="2">
        <f t="shared" si="4"/>
        <v>0.32118918918918921</v>
      </c>
      <c r="R12" s="2">
        <f t="shared" si="5"/>
        <v>0.3577405405405405</v>
      </c>
      <c r="S12" s="2">
        <f t="shared" si="6"/>
        <v>0.47783783783783779</v>
      </c>
      <c r="T12" s="3">
        <f t="shared" si="7"/>
        <v>396.42857142857144</v>
      </c>
      <c r="U12" s="2">
        <f t="shared" si="8"/>
        <v>0.53972972972972966</v>
      </c>
      <c r="V12" s="3">
        <f t="shared" si="9"/>
        <v>207</v>
      </c>
      <c r="W12" s="2">
        <f t="shared" si="10"/>
        <v>0.61140540540540533</v>
      </c>
      <c r="X12" s="3">
        <f t="shared" si="11"/>
        <v>792.85714285714289</v>
      </c>
      <c r="Y12" s="2">
        <f t="shared" si="12"/>
        <v>0.38972972972972969</v>
      </c>
      <c r="Z12" s="3">
        <f t="shared" si="13"/>
        <v>414</v>
      </c>
      <c r="AA12" s="2">
        <f t="shared" si="14"/>
        <v>0.5330810810810811</v>
      </c>
    </row>
    <row r="13" spans="1:27" ht="32" customHeight="1">
      <c r="A13" s="1">
        <v>12</v>
      </c>
      <c r="B13" s="1">
        <v>0</v>
      </c>
      <c r="C13" s="1">
        <v>0</v>
      </c>
      <c r="D13" s="1">
        <v>3500000</v>
      </c>
      <c r="E13" s="1">
        <v>1050000</v>
      </c>
      <c r="F13" s="1">
        <v>850</v>
      </c>
      <c r="G13" s="1">
        <v>1300</v>
      </c>
      <c r="H13" s="1">
        <f t="shared" si="3"/>
        <v>2150</v>
      </c>
      <c r="I13" s="1">
        <v>450</v>
      </c>
      <c r="J13" s="1" t="s">
        <v>27</v>
      </c>
      <c r="K13" s="1">
        <v>15</v>
      </c>
      <c r="L13" s="1">
        <v>15</v>
      </c>
      <c r="M13" s="1">
        <f t="shared" si="15"/>
        <v>2600</v>
      </c>
      <c r="N13" s="1">
        <f t="shared" si="0"/>
        <v>3846.1538461538462</v>
      </c>
      <c r="O13" s="1">
        <f t="shared" si="1"/>
        <v>4065.040650406504</v>
      </c>
      <c r="P13" s="1">
        <f t="shared" si="2"/>
        <v>5000</v>
      </c>
      <c r="Q13" s="2">
        <f t="shared" si="4"/>
        <v>0.32400000000000001</v>
      </c>
      <c r="R13" s="2">
        <f t="shared" si="5"/>
        <v>0.3604</v>
      </c>
      <c r="S13" s="2">
        <f t="shared" si="6"/>
        <v>0.48</v>
      </c>
      <c r="T13" s="3">
        <f t="shared" si="7"/>
        <v>750</v>
      </c>
      <c r="U13" s="2">
        <f t="shared" si="8"/>
        <v>0.59</v>
      </c>
      <c r="V13" s="3">
        <f t="shared" si="9"/>
        <v>390</v>
      </c>
      <c r="W13" s="2">
        <f t="shared" si="10"/>
        <v>0.66200000000000003</v>
      </c>
      <c r="X13" s="3">
        <f t="shared" si="11"/>
        <v>1500</v>
      </c>
      <c r="Y13" s="2">
        <f t="shared" si="12"/>
        <v>0.44</v>
      </c>
      <c r="Z13" s="3">
        <f t="shared" si="13"/>
        <v>780</v>
      </c>
      <c r="AA13" s="2">
        <f t="shared" si="14"/>
        <v>0.58399999999999996</v>
      </c>
    </row>
    <row r="14" spans="1:27" ht="32" customHeight="1">
      <c r="A14" s="1">
        <v>13</v>
      </c>
      <c r="B14" s="1">
        <v>0</v>
      </c>
      <c r="C14" s="1">
        <v>0</v>
      </c>
      <c r="D14" s="1">
        <v>5250000</v>
      </c>
      <c r="E14" s="1">
        <v>1575000</v>
      </c>
      <c r="F14" s="1">
        <v>1450</v>
      </c>
      <c r="G14" s="1">
        <v>1650</v>
      </c>
      <c r="H14" s="1">
        <f t="shared" si="3"/>
        <v>3100</v>
      </c>
      <c r="I14" s="1">
        <v>700</v>
      </c>
      <c r="J14" s="1" t="s">
        <v>27</v>
      </c>
      <c r="K14" s="1">
        <v>30</v>
      </c>
      <c r="L14" s="1">
        <v>30</v>
      </c>
      <c r="M14" s="1">
        <f t="shared" si="15"/>
        <v>3800</v>
      </c>
      <c r="N14" s="1">
        <f t="shared" si="0"/>
        <v>5769.2307692307695</v>
      </c>
      <c r="O14" s="1">
        <f t="shared" si="1"/>
        <v>6097.5609756097565</v>
      </c>
      <c r="P14" s="1">
        <f t="shared" si="2"/>
        <v>7500</v>
      </c>
      <c r="Q14" s="2">
        <f t="shared" si="4"/>
        <v>0.34133333333333338</v>
      </c>
      <c r="R14" s="2">
        <f t="shared" si="5"/>
        <v>0.37680000000000002</v>
      </c>
      <c r="S14" s="2">
        <f t="shared" si="6"/>
        <v>0.49333333333333335</v>
      </c>
      <c r="T14" s="3">
        <f t="shared" si="7"/>
        <v>1125</v>
      </c>
      <c r="U14" s="2">
        <f t="shared" si="8"/>
        <v>0.56333333333333335</v>
      </c>
      <c r="V14" s="3">
        <f t="shared" si="9"/>
        <v>570</v>
      </c>
      <c r="W14" s="2">
        <f t="shared" si="10"/>
        <v>0.63733333333333331</v>
      </c>
      <c r="X14" s="3">
        <f t="shared" si="11"/>
        <v>2250</v>
      </c>
      <c r="Y14" s="2">
        <f t="shared" si="12"/>
        <v>0.41333333333333333</v>
      </c>
      <c r="Z14" s="3">
        <f t="shared" si="13"/>
        <v>1140</v>
      </c>
      <c r="AA14" s="2">
        <f t="shared" si="14"/>
        <v>0.56133333333333335</v>
      </c>
    </row>
    <row r="15" spans="1:27" ht="32" customHeight="1">
      <c r="A15" s="1">
        <v>14</v>
      </c>
      <c r="B15" s="1">
        <v>0</v>
      </c>
      <c r="C15" s="1">
        <v>0</v>
      </c>
      <c r="D15" s="1">
        <v>7000000</v>
      </c>
      <c r="E15" s="1">
        <v>2100000</v>
      </c>
      <c r="F15" s="1">
        <v>1600</v>
      </c>
      <c r="G15" s="1">
        <v>2500</v>
      </c>
      <c r="H15" s="1">
        <f t="shared" si="3"/>
        <v>4100</v>
      </c>
      <c r="I15" s="1">
        <v>900</v>
      </c>
      <c r="J15" s="1" t="s">
        <v>27</v>
      </c>
      <c r="K15" s="1">
        <v>30</v>
      </c>
      <c r="L15" s="1">
        <v>30</v>
      </c>
      <c r="M15" s="1">
        <f t="shared" si="15"/>
        <v>5000</v>
      </c>
      <c r="N15" s="1">
        <f t="shared" si="0"/>
        <v>7692.3076923076924</v>
      </c>
      <c r="O15" s="1">
        <f t="shared" si="1"/>
        <v>8130.0813008130081</v>
      </c>
      <c r="P15" s="1">
        <f t="shared" si="2"/>
        <v>10000</v>
      </c>
      <c r="Q15" s="2">
        <f t="shared" si="4"/>
        <v>0.35000000000000003</v>
      </c>
      <c r="R15" s="2">
        <f t="shared" si="5"/>
        <v>0.38500000000000001</v>
      </c>
      <c r="S15" s="2">
        <f t="shared" si="6"/>
        <v>0.5</v>
      </c>
      <c r="T15" s="3">
        <f t="shared" si="7"/>
        <v>1500</v>
      </c>
      <c r="U15" s="2">
        <f t="shared" si="8"/>
        <v>0.6</v>
      </c>
      <c r="V15" s="3">
        <f t="shared" si="9"/>
        <v>750</v>
      </c>
      <c r="W15" s="2">
        <f t="shared" si="10"/>
        <v>0.67500000000000004</v>
      </c>
      <c r="X15" s="3">
        <f t="shared" si="11"/>
        <v>3000</v>
      </c>
      <c r="Y15" s="2">
        <f t="shared" si="12"/>
        <v>0.45</v>
      </c>
      <c r="Z15" s="3">
        <f t="shared" si="13"/>
        <v>1500</v>
      </c>
      <c r="AA15" s="2">
        <f t="shared" si="14"/>
        <v>0.6</v>
      </c>
    </row>
    <row r="16" spans="1:27" ht="32" customHeight="1">
      <c r="A16" s="1">
        <v>15</v>
      </c>
      <c r="B16" s="1">
        <v>0</v>
      </c>
      <c r="C16" s="1">
        <v>0</v>
      </c>
      <c r="D16" s="1">
        <v>10500000</v>
      </c>
      <c r="E16" s="1">
        <v>3150000</v>
      </c>
      <c r="F16" s="1">
        <v>2500</v>
      </c>
      <c r="G16" s="1">
        <v>3600</v>
      </c>
      <c r="H16" s="1">
        <f t="shared" si="3"/>
        <v>6100</v>
      </c>
      <c r="I16" s="1">
        <v>1400</v>
      </c>
      <c r="J16" s="1" t="s">
        <v>27</v>
      </c>
      <c r="K16" s="1">
        <v>30</v>
      </c>
      <c r="L16" s="1">
        <v>30</v>
      </c>
      <c r="M16" s="1">
        <f t="shared" si="15"/>
        <v>7500</v>
      </c>
      <c r="N16" s="1">
        <f t="shared" si="0"/>
        <v>11538.461538461539</v>
      </c>
      <c r="O16" s="1">
        <f t="shared" si="1"/>
        <v>12195.121951219513</v>
      </c>
      <c r="P16" s="1">
        <f t="shared" si="2"/>
        <v>15000</v>
      </c>
      <c r="Q16" s="2">
        <f t="shared" si="4"/>
        <v>0.35000000000000003</v>
      </c>
      <c r="R16" s="2">
        <f t="shared" si="5"/>
        <v>0.38500000000000006</v>
      </c>
      <c r="S16" s="2">
        <f t="shared" si="6"/>
        <v>0.5</v>
      </c>
      <c r="T16" s="3">
        <f t="shared" si="7"/>
        <v>2250</v>
      </c>
      <c r="U16" s="2">
        <f t="shared" si="8"/>
        <v>0.59</v>
      </c>
      <c r="V16" s="3">
        <f t="shared" si="9"/>
        <v>1125</v>
      </c>
      <c r="W16" s="2">
        <f t="shared" si="10"/>
        <v>0.66500000000000004</v>
      </c>
      <c r="X16" s="3">
        <f t="shared" si="11"/>
        <v>4500</v>
      </c>
      <c r="Y16" s="2">
        <f t="shared" si="12"/>
        <v>0.44</v>
      </c>
      <c r="Z16" s="3">
        <f t="shared" si="13"/>
        <v>2250</v>
      </c>
      <c r="AA16" s="2">
        <f t="shared" si="14"/>
        <v>0.59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94DB-77B2-F24A-AA7F-052AE346AEA3}">
  <dimension ref="A1:P16"/>
  <sheetViews>
    <sheetView workbookViewId="0">
      <selection activeCell="K2" sqref="K2"/>
    </sheetView>
  </sheetViews>
  <sheetFormatPr baseColWidth="10" defaultRowHeight="32" customHeight="1"/>
  <cols>
    <col min="14" max="16" width="10.83203125" style="5"/>
  </cols>
  <sheetData>
    <row r="1" spans="1:16" s="3" customFormat="1" ht="32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11</v>
      </c>
      <c r="F1" s="1" t="s">
        <v>13</v>
      </c>
      <c r="G1" s="1" t="s">
        <v>14</v>
      </c>
      <c r="H1" s="1" t="s">
        <v>16</v>
      </c>
      <c r="I1" s="1" t="s">
        <v>15</v>
      </c>
      <c r="J1" s="1" t="s">
        <v>5</v>
      </c>
      <c r="K1" s="1" t="s">
        <v>0</v>
      </c>
      <c r="L1" s="1" t="s">
        <v>1</v>
      </c>
      <c r="M1" s="1" t="s">
        <v>22</v>
      </c>
      <c r="N1" s="2" t="s">
        <v>2</v>
      </c>
      <c r="O1" s="2" t="s">
        <v>4</v>
      </c>
      <c r="P1" s="2" t="s">
        <v>3</v>
      </c>
    </row>
    <row r="2" spans="1:16" ht="32" customHeight="1">
      <c r="A2" s="6">
        <v>1</v>
      </c>
      <c r="B2" s="6">
        <v>15</v>
      </c>
      <c r="C2" s="6">
        <v>25</v>
      </c>
      <c r="D2" s="6">
        <v>10000</v>
      </c>
      <c r="E2" s="6">
        <v>17</v>
      </c>
      <c r="F2" s="6">
        <v>3</v>
      </c>
      <c r="G2" s="6"/>
      <c r="H2" s="6"/>
      <c r="I2" s="6"/>
      <c r="J2" s="6">
        <f>E2+F2</f>
        <v>20</v>
      </c>
      <c r="K2" s="6">
        <f>D2/0.5/910</f>
        <v>21.978021978021978</v>
      </c>
      <c r="L2" s="6">
        <f>D2/0.5/861</f>
        <v>23.228803716608596</v>
      </c>
      <c r="M2" s="6">
        <f>D2/0.5/700</f>
        <v>28.571428571428573</v>
      </c>
      <c r="N2" s="7">
        <f>(K2-J2)/K2</f>
        <v>0.09</v>
      </c>
      <c r="O2" s="7">
        <f>(L2-J2)/L2</f>
        <v>0.13900000000000004</v>
      </c>
      <c r="P2" s="7">
        <f>(M2-J2)/M2</f>
        <v>0.30000000000000004</v>
      </c>
    </row>
    <row r="3" spans="1:16" ht="32" customHeight="1">
      <c r="A3" s="6">
        <v>2</v>
      </c>
      <c r="B3" s="6">
        <v>15</v>
      </c>
      <c r="C3" s="6">
        <v>20</v>
      </c>
      <c r="D3" s="6">
        <v>15000</v>
      </c>
      <c r="E3" s="6">
        <v>25</v>
      </c>
      <c r="F3" s="6">
        <v>5</v>
      </c>
      <c r="G3" s="6"/>
      <c r="H3" s="6"/>
      <c r="I3" s="6"/>
      <c r="J3" s="6">
        <f t="shared" ref="J3:J16" si="0">E3+F3</f>
        <v>30</v>
      </c>
      <c r="K3" s="6">
        <f t="shared" ref="K3:K16" si="1">D3/0.5/910</f>
        <v>32.967032967032964</v>
      </c>
      <c r="L3" s="6">
        <f t="shared" ref="L3:L16" si="2">D3/0.5/861</f>
        <v>34.843205574912893</v>
      </c>
      <c r="M3" s="6">
        <f t="shared" ref="M3:M16" si="3">D3/0.5/700</f>
        <v>42.857142857142854</v>
      </c>
      <c r="N3" s="7">
        <f t="shared" ref="N3:N16" si="4">(K3-J3)/K3</f>
        <v>8.99999999999999E-2</v>
      </c>
      <c r="O3" s="7">
        <f t="shared" ref="O3:O16" si="5">(L3-J3)/L3</f>
        <v>0.13900000000000004</v>
      </c>
      <c r="P3" s="7">
        <f t="shared" ref="P3:P16" si="6">(M3-J3)/M3</f>
        <v>0.29999999999999993</v>
      </c>
    </row>
    <row r="4" spans="1:16" ht="32" customHeight="1">
      <c r="A4" s="6">
        <v>3</v>
      </c>
      <c r="B4" s="9">
        <v>10</v>
      </c>
      <c r="C4" s="8">
        <v>15</v>
      </c>
      <c r="D4" s="6">
        <v>20000</v>
      </c>
      <c r="E4" s="6">
        <v>32</v>
      </c>
      <c r="F4" s="6">
        <v>8</v>
      </c>
      <c r="G4" s="6"/>
      <c r="H4" s="6"/>
      <c r="I4" s="6"/>
      <c r="J4" s="6">
        <f t="shared" si="0"/>
        <v>40</v>
      </c>
      <c r="K4" s="6">
        <f t="shared" si="1"/>
        <v>43.956043956043956</v>
      </c>
      <c r="L4" s="6">
        <f t="shared" si="2"/>
        <v>46.457607433217191</v>
      </c>
      <c r="M4" s="6">
        <f t="shared" si="3"/>
        <v>57.142857142857146</v>
      </c>
      <c r="N4" s="7">
        <f t="shared" si="4"/>
        <v>0.09</v>
      </c>
      <c r="O4" s="7">
        <f t="shared" si="5"/>
        <v>0.13900000000000004</v>
      </c>
      <c r="P4" s="7">
        <f t="shared" si="6"/>
        <v>0.30000000000000004</v>
      </c>
    </row>
    <row r="5" spans="1:16" ht="32" customHeight="1">
      <c r="A5" s="6">
        <v>4</v>
      </c>
      <c r="B5" s="9"/>
      <c r="C5" s="8"/>
      <c r="D5" s="6">
        <v>25000</v>
      </c>
      <c r="E5" s="6">
        <v>37</v>
      </c>
      <c r="F5" s="6">
        <v>11</v>
      </c>
      <c r="G5" s="6"/>
      <c r="H5" s="6"/>
      <c r="I5" s="6"/>
      <c r="J5" s="6">
        <f t="shared" si="0"/>
        <v>48</v>
      </c>
      <c r="K5" s="6">
        <f t="shared" si="1"/>
        <v>54.945054945054942</v>
      </c>
      <c r="L5" s="6">
        <f t="shared" si="2"/>
        <v>58.072009291521489</v>
      </c>
      <c r="M5" s="6">
        <f t="shared" si="3"/>
        <v>71.428571428571431</v>
      </c>
      <c r="N5" s="7">
        <f t="shared" si="4"/>
        <v>0.12639999999999996</v>
      </c>
      <c r="O5" s="7">
        <f t="shared" si="5"/>
        <v>0.17344000000000004</v>
      </c>
      <c r="P5" s="7">
        <f t="shared" si="6"/>
        <v>0.32800000000000001</v>
      </c>
    </row>
    <row r="6" spans="1:16" ht="32" customHeight="1">
      <c r="A6" s="6">
        <v>5</v>
      </c>
      <c r="B6" s="9"/>
      <c r="C6" s="8"/>
      <c r="D6" s="6">
        <v>30000</v>
      </c>
      <c r="E6" s="6">
        <v>47</v>
      </c>
      <c r="F6" s="6">
        <v>13</v>
      </c>
      <c r="G6" s="6"/>
      <c r="H6" s="6"/>
      <c r="I6" s="6"/>
      <c r="J6" s="6">
        <f t="shared" si="0"/>
        <v>60</v>
      </c>
      <c r="K6" s="6">
        <f t="shared" si="1"/>
        <v>65.934065934065927</v>
      </c>
      <c r="L6" s="6">
        <f t="shared" si="2"/>
        <v>69.686411149825787</v>
      </c>
      <c r="M6" s="6">
        <f t="shared" si="3"/>
        <v>85.714285714285708</v>
      </c>
      <c r="N6" s="7">
        <f t="shared" si="4"/>
        <v>8.99999999999999E-2</v>
      </c>
      <c r="O6" s="7">
        <f t="shared" si="5"/>
        <v>0.13900000000000004</v>
      </c>
      <c r="P6" s="7">
        <f t="shared" si="6"/>
        <v>0.29999999999999993</v>
      </c>
    </row>
    <row r="7" spans="1:16" ht="32" customHeight="1">
      <c r="A7" s="6">
        <v>6</v>
      </c>
      <c r="B7" s="9"/>
      <c r="C7" s="8"/>
      <c r="D7" s="6">
        <v>35000</v>
      </c>
      <c r="E7" s="6">
        <v>57</v>
      </c>
      <c r="F7" s="6">
        <v>15</v>
      </c>
      <c r="G7" s="6"/>
      <c r="H7" s="6"/>
      <c r="I7" s="6"/>
      <c r="J7" s="6">
        <f t="shared" si="0"/>
        <v>72</v>
      </c>
      <c r="K7" s="6">
        <f t="shared" si="1"/>
        <v>76.92307692307692</v>
      </c>
      <c r="L7" s="6">
        <f t="shared" si="2"/>
        <v>81.300813008130078</v>
      </c>
      <c r="M7" s="6">
        <f t="shared" si="3"/>
        <v>100</v>
      </c>
      <c r="N7" s="7">
        <f t="shared" si="4"/>
        <v>6.399999999999996E-2</v>
      </c>
      <c r="O7" s="7">
        <f t="shared" si="5"/>
        <v>0.11439999999999996</v>
      </c>
      <c r="P7" s="7">
        <f t="shared" si="6"/>
        <v>0.28000000000000003</v>
      </c>
    </row>
    <row r="8" spans="1:16" ht="32" customHeight="1">
      <c r="A8" s="6">
        <v>7</v>
      </c>
      <c r="B8" s="9"/>
      <c r="C8" s="8"/>
      <c r="D8" s="6">
        <v>50000</v>
      </c>
      <c r="E8" s="6">
        <v>77</v>
      </c>
      <c r="F8" s="6">
        <v>18</v>
      </c>
      <c r="G8" s="6"/>
      <c r="H8" s="6"/>
      <c r="I8" s="6"/>
      <c r="J8" s="6">
        <f t="shared" si="0"/>
        <v>95</v>
      </c>
      <c r="K8" s="6">
        <f t="shared" si="1"/>
        <v>109.89010989010988</v>
      </c>
      <c r="L8" s="6">
        <f t="shared" si="2"/>
        <v>116.14401858304298</v>
      </c>
      <c r="M8" s="6">
        <f t="shared" si="3"/>
        <v>142.85714285714286</v>
      </c>
      <c r="N8" s="7">
        <f t="shared" si="4"/>
        <v>0.13549999999999995</v>
      </c>
      <c r="O8" s="7">
        <f t="shared" si="5"/>
        <v>0.18205000000000005</v>
      </c>
      <c r="P8" s="7">
        <f t="shared" si="6"/>
        <v>0.33500000000000002</v>
      </c>
    </row>
    <row r="9" spans="1:16" ht="32" customHeight="1">
      <c r="A9" s="6">
        <v>8</v>
      </c>
      <c r="B9" s="9"/>
      <c r="C9" s="8"/>
      <c r="D9" s="6">
        <v>75000</v>
      </c>
      <c r="E9" s="6">
        <v>117</v>
      </c>
      <c r="F9" s="6">
        <v>21</v>
      </c>
      <c r="G9" s="6"/>
      <c r="H9" s="6"/>
      <c r="I9" s="6"/>
      <c r="J9" s="6">
        <f t="shared" si="0"/>
        <v>138</v>
      </c>
      <c r="K9" s="6">
        <f t="shared" si="1"/>
        <v>164.83516483516485</v>
      </c>
      <c r="L9" s="6">
        <f t="shared" si="2"/>
        <v>174.21602787456445</v>
      </c>
      <c r="M9" s="6">
        <f t="shared" si="3"/>
        <v>214.28571428571428</v>
      </c>
      <c r="N9" s="7">
        <f t="shared" si="4"/>
        <v>0.16280000000000006</v>
      </c>
      <c r="O9" s="7">
        <f t="shared" si="5"/>
        <v>0.20787999999999993</v>
      </c>
      <c r="P9" s="7">
        <f t="shared" si="6"/>
        <v>0.35599999999999998</v>
      </c>
    </row>
    <row r="10" spans="1:16" ht="32" customHeight="1">
      <c r="A10" s="6">
        <v>9</v>
      </c>
      <c r="B10" s="9"/>
      <c r="C10" s="8"/>
      <c r="D10" s="6">
        <v>100000</v>
      </c>
      <c r="E10" s="6">
        <v>154</v>
      </c>
      <c r="F10" s="6">
        <v>26</v>
      </c>
      <c r="G10" s="6"/>
      <c r="H10" s="6"/>
      <c r="I10" s="6"/>
      <c r="J10" s="6">
        <f t="shared" si="0"/>
        <v>180</v>
      </c>
      <c r="K10" s="6">
        <f t="shared" si="1"/>
        <v>219.78021978021977</v>
      </c>
      <c r="L10" s="6">
        <f t="shared" si="2"/>
        <v>232.28803716608596</v>
      </c>
      <c r="M10" s="6">
        <f t="shared" si="3"/>
        <v>285.71428571428572</v>
      </c>
      <c r="N10" s="7">
        <f t="shared" si="4"/>
        <v>0.18099999999999994</v>
      </c>
      <c r="O10" s="7">
        <f t="shared" si="5"/>
        <v>0.22510000000000002</v>
      </c>
      <c r="P10" s="7">
        <f t="shared" si="6"/>
        <v>0.37</v>
      </c>
    </row>
    <row r="11" spans="1:16" ht="32" customHeight="1">
      <c r="A11" s="6">
        <v>10</v>
      </c>
      <c r="B11" s="9"/>
      <c r="C11" s="8"/>
      <c r="D11" s="6">
        <v>150000</v>
      </c>
      <c r="E11" s="6">
        <v>232</v>
      </c>
      <c r="F11" s="6">
        <v>37</v>
      </c>
      <c r="G11" s="6"/>
      <c r="H11" s="6"/>
      <c r="I11" s="6"/>
      <c r="J11" s="6">
        <f t="shared" si="0"/>
        <v>269</v>
      </c>
      <c r="K11" s="6">
        <f t="shared" si="1"/>
        <v>329.67032967032969</v>
      </c>
      <c r="L11" s="6">
        <f t="shared" si="2"/>
        <v>348.43205574912889</v>
      </c>
      <c r="M11" s="6">
        <f t="shared" si="3"/>
        <v>428.57142857142856</v>
      </c>
      <c r="N11" s="7">
        <f t="shared" si="4"/>
        <v>0.18403333333333338</v>
      </c>
      <c r="O11" s="7">
        <f t="shared" si="5"/>
        <v>0.22796999999999995</v>
      </c>
      <c r="P11" s="7">
        <f t="shared" si="6"/>
        <v>0.37233333333333329</v>
      </c>
    </row>
    <row r="12" spans="1:16" ht="32" customHeight="1">
      <c r="A12" s="6">
        <v>11</v>
      </c>
      <c r="B12" s="9"/>
      <c r="C12" s="8"/>
      <c r="D12" s="6">
        <v>250000</v>
      </c>
      <c r="E12" s="6">
        <v>372</v>
      </c>
      <c r="F12" s="6">
        <v>61</v>
      </c>
      <c r="G12" s="6"/>
      <c r="H12" s="6"/>
      <c r="I12" s="6"/>
      <c r="J12" s="6">
        <f t="shared" si="0"/>
        <v>433</v>
      </c>
      <c r="K12" s="6">
        <f t="shared" si="1"/>
        <v>549.45054945054949</v>
      </c>
      <c r="L12" s="6">
        <f t="shared" si="2"/>
        <v>580.72009291521488</v>
      </c>
      <c r="M12" s="6">
        <f t="shared" si="3"/>
        <v>714.28571428571433</v>
      </c>
      <c r="N12" s="7">
        <f t="shared" si="4"/>
        <v>0.21194000000000005</v>
      </c>
      <c r="O12" s="7">
        <f t="shared" si="5"/>
        <v>0.25437399999999999</v>
      </c>
      <c r="P12" s="7">
        <f t="shared" si="6"/>
        <v>0.39380000000000004</v>
      </c>
    </row>
    <row r="13" spans="1:16" ht="32" customHeight="1">
      <c r="A13" s="6">
        <v>12</v>
      </c>
      <c r="B13" s="9"/>
      <c r="C13" s="8"/>
      <c r="D13" s="6">
        <v>350000</v>
      </c>
      <c r="E13" s="6">
        <v>532</v>
      </c>
      <c r="F13" s="6">
        <v>71</v>
      </c>
      <c r="G13" s="6"/>
      <c r="H13" s="6"/>
      <c r="I13" s="6"/>
      <c r="J13" s="6">
        <f t="shared" si="0"/>
        <v>603</v>
      </c>
      <c r="K13" s="6">
        <f t="shared" si="1"/>
        <v>769.23076923076928</v>
      </c>
      <c r="L13" s="6">
        <f t="shared" si="2"/>
        <v>813.00813008130081</v>
      </c>
      <c r="M13" s="6">
        <f t="shared" si="3"/>
        <v>1000</v>
      </c>
      <c r="N13" s="7">
        <f t="shared" si="4"/>
        <v>0.21610000000000004</v>
      </c>
      <c r="O13" s="7">
        <f t="shared" si="5"/>
        <v>0.25830999999999998</v>
      </c>
      <c r="P13" s="7">
        <f t="shared" si="6"/>
        <v>0.39700000000000002</v>
      </c>
    </row>
    <row r="14" spans="1:16" ht="32" customHeight="1">
      <c r="A14" s="6">
        <v>13</v>
      </c>
      <c r="B14" s="9"/>
      <c r="C14" s="8"/>
      <c r="D14" s="6">
        <v>500000</v>
      </c>
      <c r="E14" s="6">
        <v>772</v>
      </c>
      <c r="F14" s="6">
        <v>86</v>
      </c>
      <c r="G14" s="6"/>
      <c r="H14" s="6"/>
      <c r="I14" s="6"/>
      <c r="J14" s="6">
        <f t="shared" si="0"/>
        <v>858</v>
      </c>
      <c r="K14" s="6">
        <f t="shared" si="1"/>
        <v>1098.901098901099</v>
      </c>
      <c r="L14" s="6">
        <f t="shared" si="2"/>
        <v>1161.4401858304298</v>
      </c>
      <c r="M14" s="6">
        <f t="shared" si="3"/>
        <v>1428.5714285714287</v>
      </c>
      <c r="N14" s="7">
        <f t="shared" si="4"/>
        <v>0.21922000000000005</v>
      </c>
      <c r="O14" s="7">
        <f t="shared" si="5"/>
        <v>0.26126199999999999</v>
      </c>
      <c r="P14" s="7">
        <f t="shared" si="6"/>
        <v>0.39940000000000003</v>
      </c>
    </row>
    <row r="15" spans="1:16" ht="32" customHeight="1">
      <c r="A15" s="6">
        <v>14</v>
      </c>
      <c r="B15" s="9"/>
      <c r="C15" s="8"/>
      <c r="D15" s="6">
        <v>750000</v>
      </c>
      <c r="E15" s="6">
        <v>1202</v>
      </c>
      <c r="F15" s="6">
        <v>151</v>
      </c>
      <c r="G15" s="6"/>
      <c r="H15" s="6"/>
      <c r="I15" s="6"/>
      <c r="J15" s="6">
        <f t="shared" si="0"/>
        <v>1353</v>
      </c>
      <c r="K15" s="6">
        <f t="shared" si="1"/>
        <v>1648.3516483516485</v>
      </c>
      <c r="L15" s="6">
        <f t="shared" si="2"/>
        <v>1742.1602787456445</v>
      </c>
      <c r="M15" s="6">
        <f t="shared" si="3"/>
        <v>2142.8571428571427</v>
      </c>
      <c r="N15" s="7">
        <f t="shared" si="4"/>
        <v>0.17918000000000006</v>
      </c>
      <c r="O15" s="7">
        <f t="shared" si="5"/>
        <v>0.22337799999999997</v>
      </c>
      <c r="P15" s="7">
        <f t="shared" si="6"/>
        <v>0.36859999999999993</v>
      </c>
    </row>
    <row r="16" spans="1:16" ht="32" customHeight="1">
      <c r="A16" s="6">
        <v>15</v>
      </c>
      <c r="B16" s="9"/>
      <c r="C16" s="8"/>
      <c r="D16" s="6">
        <v>1000000</v>
      </c>
      <c r="E16" s="6">
        <v>1522</v>
      </c>
      <c r="F16" s="6">
        <v>251</v>
      </c>
      <c r="G16" s="6"/>
      <c r="H16" s="6"/>
      <c r="I16" s="6"/>
      <c r="J16" s="6">
        <f t="shared" si="0"/>
        <v>1773</v>
      </c>
      <c r="K16" s="6">
        <f t="shared" si="1"/>
        <v>2197.802197802198</v>
      </c>
      <c r="L16" s="6">
        <f t="shared" si="2"/>
        <v>2322.8803716608595</v>
      </c>
      <c r="M16" s="6">
        <f t="shared" si="3"/>
        <v>2857.1428571428573</v>
      </c>
      <c r="N16" s="7">
        <f t="shared" si="4"/>
        <v>0.19328500000000007</v>
      </c>
      <c r="O16" s="7">
        <f t="shared" si="5"/>
        <v>0.2367235</v>
      </c>
      <c r="P16" s="7">
        <f t="shared" si="6"/>
        <v>0.37945000000000007</v>
      </c>
    </row>
  </sheetData>
  <mergeCells count="2">
    <mergeCell ref="C4:C16"/>
    <mergeCell ref="B4:B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binmo</vt:lpstr>
      <vt:lpstr>haki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2022-07-25T02:28:53Z</dcterms:created>
  <dcterms:modified xsi:type="dcterms:W3CDTF">2022-09-21T02:06:10Z</dcterms:modified>
</cp:coreProperties>
</file>