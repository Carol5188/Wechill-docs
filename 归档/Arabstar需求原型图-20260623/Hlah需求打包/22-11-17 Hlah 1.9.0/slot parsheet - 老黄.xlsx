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11-17 Hlah 1.9.0/"/>
    </mc:Choice>
  </mc:AlternateContent>
  <xr:revisionPtr revIDLastSave="0" documentId="13_ncr:1_{690C2FA0-0972-504C-8564-737863348AAA}" xr6:coauthVersionLast="47" xr6:coauthVersionMax="47" xr10:uidLastSave="{00000000-0000-0000-0000-000000000000}"/>
  <bookViews>
    <workbookView xWindow="0" yWindow="500" windowWidth="35840" windowHeight="21900" xr2:uid="{A5A00301-AD94-F64A-AAFD-4C1109BBF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49" i="1" l="1"/>
  <c r="R50" i="1"/>
  <c r="R51" i="1"/>
  <c r="V26" i="1"/>
  <c r="U26" i="1"/>
  <c r="T26" i="1"/>
  <c r="S26" i="1"/>
  <c r="R26" i="1"/>
  <c r="R28" i="1" s="1"/>
  <c r="AD12" i="1"/>
  <c r="AC12" i="1"/>
  <c r="AB12" i="1"/>
  <c r="AA12" i="1"/>
  <c r="Z12" i="1"/>
  <c r="AD11" i="1"/>
  <c r="AC11" i="1"/>
  <c r="AB11" i="1"/>
  <c r="AA11" i="1"/>
  <c r="Z11" i="1"/>
  <c r="AD10" i="1"/>
  <c r="AC10" i="1"/>
  <c r="AB10" i="1"/>
  <c r="AA10" i="1"/>
  <c r="Z10" i="1"/>
  <c r="AD9" i="1"/>
  <c r="AC9" i="1"/>
  <c r="AC19" i="1" s="1"/>
  <c r="AB9" i="1"/>
  <c r="AB19" i="1" s="1"/>
  <c r="AA9" i="1"/>
  <c r="Z9" i="1"/>
  <c r="AD8" i="1"/>
  <c r="AC8" i="1"/>
  <c r="AB8" i="1"/>
  <c r="AA8" i="1"/>
  <c r="Z8" i="1"/>
  <c r="AD7" i="1"/>
  <c r="AC7" i="1"/>
  <c r="AB7" i="1"/>
  <c r="AB17" i="1" s="1"/>
  <c r="AA7" i="1"/>
  <c r="Z7" i="1"/>
  <c r="AD6" i="1"/>
  <c r="AC6" i="1"/>
  <c r="AB6" i="1"/>
  <c r="AA6" i="1"/>
  <c r="Z6" i="1"/>
  <c r="AD5" i="1"/>
  <c r="AC5" i="1"/>
  <c r="AB5" i="1"/>
  <c r="AB15" i="1" s="1"/>
  <c r="AB20" i="1" s="1"/>
  <c r="AA5" i="1"/>
  <c r="AA15" i="1" s="1"/>
  <c r="Z5" i="1"/>
  <c r="N9" i="1"/>
  <c r="M9" i="1"/>
  <c r="L9" i="1"/>
  <c r="K9" i="1"/>
  <c r="J9" i="1"/>
  <c r="AD17" i="1" l="1"/>
  <c r="Z16" i="1"/>
  <c r="Z21" i="1" s="1"/>
  <c r="AA16" i="1"/>
  <c r="AD16" i="1"/>
  <c r="AA19" i="1"/>
  <c r="Z17" i="1"/>
  <c r="AA17" i="1"/>
  <c r="AA22" i="1" s="1"/>
  <c r="AC24" i="1"/>
  <c r="Z15" i="1"/>
  <c r="AD19" i="1"/>
  <c r="V44" i="1" s="1"/>
  <c r="W44" i="1" s="1"/>
  <c r="X44" i="1" s="1"/>
  <c r="Z18" i="1"/>
  <c r="Z23" i="1" s="1"/>
  <c r="AD15" i="1"/>
  <c r="AD20" i="1" s="1"/>
  <c r="AA18" i="1"/>
  <c r="AD18" i="1"/>
  <c r="Z19" i="1"/>
  <c r="Y42" i="1"/>
  <c r="Y36" i="1"/>
  <c r="Y30" i="1"/>
  <c r="Y41" i="1"/>
  <c r="Y35" i="1"/>
  <c r="Y40" i="1"/>
  <c r="Y34" i="1"/>
  <c r="Y39" i="1"/>
  <c r="Y33" i="1"/>
  <c r="Y44" i="1"/>
  <c r="Y38" i="1"/>
  <c r="Y32" i="1"/>
  <c r="Y43" i="1"/>
  <c r="Y37" i="1"/>
  <c r="Y31" i="1"/>
  <c r="AA21" i="1"/>
  <c r="AC18" i="1"/>
  <c r="AC23" i="1" s="1"/>
  <c r="V37" i="1"/>
  <c r="W37" i="1" s="1"/>
  <c r="X37" i="1" s="1"/>
  <c r="Z20" i="1"/>
  <c r="AA23" i="1"/>
  <c r="AB16" i="1"/>
  <c r="AB21" i="1" s="1"/>
  <c r="AD23" i="1"/>
  <c r="AC16" i="1"/>
  <c r="AC21" i="1" s="1"/>
  <c r="Z24" i="1"/>
  <c r="AD21" i="1"/>
  <c r="AA24" i="1"/>
  <c r="V33" i="1"/>
  <c r="AB24" i="1"/>
  <c r="AB22" i="1"/>
  <c r="AD24" i="1"/>
  <c r="V43" i="1" s="1"/>
  <c r="W43" i="1" s="1"/>
  <c r="X43" i="1" s="1"/>
  <c r="AA20" i="1"/>
  <c r="AC17" i="1"/>
  <c r="AC22" i="1" s="1"/>
  <c r="AD22" i="1"/>
  <c r="V35" i="1"/>
  <c r="AC15" i="1"/>
  <c r="AC20" i="1" s="1"/>
  <c r="Z22" i="1"/>
  <c r="V30" i="1"/>
  <c r="W30" i="1" s="1"/>
  <c r="X30" i="1" s="1"/>
  <c r="V36" i="1"/>
  <c r="W36" i="1" s="1"/>
  <c r="X36" i="1" s="1"/>
  <c r="V42" i="1"/>
  <c r="AB18" i="1"/>
  <c r="AB23" i="1" s="1"/>
  <c r="K12" i="1"/>
  <c r="L12" i="1"/>
  <c r="M12" i="1"/>
  <c r="N12" i="1"/>
  <c r="J12" i="1"/>
  <c r="K11" i="1"/>
  <c r="L11" i="1"/>
  <c r="M11" i="1"/>
  <c r="N11" i="1"/>
  <c r="J11" i="1"/>
  <c r="K10" i="1"/>
  <c r="L10" i="1"/>
  <c r="M10" i="1"/>
  <c r="N10" i="1"/>
  <c r="J10" i="1"/>
  <c r="K8" i="1"/>
  <c r="L8" i="1"/>
  <c r="M8" i="1"/>
  <c r="N8" i="1"/>
  <c r="J8" i="1"/>
  <c r="K7" i="1"/>
  <c r="L7" i="1"/>
  <c r="M7" i="1"/>
  <c r="N7" i="1"/>
  <c r="J7" i="1"/>
  <c r="K6" i="1"/>
  <c r="L6" i="1"/>
  <c r="M6" i="1"/>
  <c r="N6" i="1"/>
  <c r="J6" i="1"/>
  <c r="K5" i="1"/>
  <c r="L5" i="1"/>
  <c r="M5" i="1"/>
  <c r="N5" i="1"/>
  <c r="J5" i="1"/>
  <c r="C26" i="1"/>
  <c r="D26" i="1"/>
  <c r="E26" i="1"/>
  <c r="F26" i="1"/>
  <c r="B26" i="1"/>
  <c r="V39" i="1" l="1"/>
  <c r="W39" i="1" s="1"/>
  <c r="X39" i="1" s="1"/>
  <c r="W35" i="1"/>
  <c r="X35" i="1" s="1"/>
  <c r="W33" i="1"/>
  <c r="X33" i="1" s="1"/>
  <c r="V32" i="1"/>
  <c r="W32" i="1" s="1"/>
  <c r="X32" i="1" s="1"/>
  <c r="V40" i="1"/>
  <c r="W40" i="1" s="1"/>
  <c r="X40" i="1" s="1"/>
  <c r="V41" i="1"/>
  <c r="W41" i="1" s="1"/>
  <c r="X41" i="1" s="1"/>
  <c r="V34" i="1"/>
  <c r="W34" i="1" s="1"/>
  <c r="X34" i="1" s="1"/>
  <c r="V31" i="1"/>
  <c r="W31" i="1" s="1"/>
  <c r="X31" i="1" s="1"/>
  <c r="W42" i="1"/>
  <c r="X42" i="1" s="1"/>
  <c r="V38" i="1"/>
  <c r="W38" i="1" s="1"/>
  <c r="X38" i="1" s="1"/>
  <c r="B28" i="1"/>
  <c r="I35" i="1" s="1"/>
  <c r="K19" i="1"/>
  <c r="K24" i="1" s="1"/>
  <c r="M17" i="1"/>
  <c r="K17" i="1"/>
  <c r="K22" i="1" s="1"/>
  <c r="N18" i="1"/>
  <c r="N23" i="1" s="1"/>
  <c r="M18" i="1"/>
  <c r="M23" i="1" s="1"/>
  <c r="L19" i="1"/>
  <c r="L24" i="1" s="1"/>
  <c r="N17" i="1"/>
  <c r="N22" i="1" s="1"/>
  <c r="M15" i="1"/>
  <c r="M20" i="1" s="1"/>
  <c r="K15" i="1"/>
  <c r="K20" i="1" s="1"/>
  <c r="N16" i="1"/>
  <c r="N21" i="1" s="1"/>
  <c r="L18" i="1"/>
  <c r="L23" i="1" s="1"/>
  <c r="M19" i="1"/>
  <c r="M24" i="1" s="1"/>
  <c r="L17" i="1"/>
  <c r="L22" i="1" s="1"/>
  <c r="L15" i="1"/>
  <c r="L20" i="1" s="1"/>
  <c r="M16" i="1"/>
  <c r="M21" i="1" s="1"/>
  <c r="K18" i="1"/>
  <c r="K23" i="1" s="1"/>
  <c r="K16" i="1"/>
  <c r="K21" i="1" s="1"/>
  <c r="N15" i="1"/>
  <c r="N20" i="1" s="1"/>
  <c r="N19" i="1"/>
  <c r="N24" i="1" s="1"/>
  <c r="L16" i="1"/>
  <c r="L21" i="1" s="1"/>
  <c r="J15" i="1"/>
  <c r="J18" i="1"/>
  <c r="J16" i="1"/>
  <c r="J17" i="1"/>
  <c r="J19" i="1"/>
  <c r="J24" i="1" s="1"/>
  <c r="M22" i="1"/>
  <c r="X48" i="1" l="1"/>
  <c r="I36" i="1"/>
  <c r="I38" i="1"/>
  <c r="I37" i="1"/>
  <c r="I42" i="1"/>
  <c r="I30" i="1"/>
  <c r="I43" i="1"/>
  <c r="I44" i="1"/>
  <c r="I31" i="1"/>
  <c r="I32" i="1"/>
  <c r="I33" i="1"/>
  <c r="I34" i="1"/>
  <c r="F44" i="1"/>
  <c r="F43" i="1"/>
  <c r="F42" i="1"/>
  <c r="J23" i="1"/>
  <c r="F41" i="1"/>
  <c r="F40" i="1"/>
  <c r="F39" i="1"/>
  <c r="I40" i="1"/>
  <c r="I41" i="1"/>
  <c r="I39" i="1"/>
  <c r="J20" i="1"/>
  <c r="F32" i="1"/>
  <c r="F31" i="1"/>
  <c r="F30" i="1"/>
  <c r="J22" i="1"/>
  <c r="F38" i="1"/>
  <c r="F37" i="1"/>
  <c r="F36" i="1"/>
  <c r="J21" i="1"/>
  <c r="F34" i="1"/>
  <c r="F33" i="1"/>
  <c r="F35" i="1"/>
  <c r="G35" i="1" s="1"/>
  <c r="H35" i="1" s="1"/>
  <c r="G31" i="1" l="1"/>
  <c r="H31" i="1" s="1"/>
  <c r="G38" i="1"/>
  <c r="H38" i="1" s="1"/>
  <c r="G32" i="1"/>
  <c r="H32" i="1" s="1"/>
  <c r="G36" i="1"/>
  <c r="H36" i="1" s="1"/>
  <c r="G44" i="1"/>
  <c r="H44" i="1" s="1"/>
  <c r="G37" i="1"/>
  <c r="H37" i="1" s="1"/>
  <c r="G33" i="1"/>
  <c r="H33" i="1" s="1"/>
  <c r="G34" i="1"/>
  <c r="H34" i="1" s="1"/>
  <c r="G42" i="1"/>
  <c r="H42" i="1" s="1"/>
  <c r="G43" i="1"/>
  <c r="H43" i="1" s="1"/>
  <c r="G41" i="1"/>
  <c r="H41" i="1" s="1"/>
  <c r="G39" i="1"/>
  <c r="H39" i="1" s="1"/>
  <c r="G40" i="1"/>
  <c r="H40" i="1" s="1"/>
  <c r="G30" i="1"/>
  <c r="H30" i="1" s="1"/>
  <c r="H48" i="1" l="1"/>
</calcChain>
</file>

<file path=xl/sharedStrings.xml><?xml version="1.0" encoding="utf-8"?>
<sst xmlns="http://schemas.openxmlformats.org/spreadsheetml/2006/main" count="242" uniqueCount="72">
  <si>
    <t>长度</t>
    <phoneticPr fontId="2" type="noConversion"/>
  </si>
  <si>
    <t>轴1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</si>
  <si>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</si>
  <si>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</si>
  <si>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</si>
  <si>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</si>
  <si>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</si>
  <si>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W</t>
    <phoneticPr fontId="2" type="noConversion"/>
  </si>
  <si>
    <t>轴2</t>
    <phoneticPr fontId="2" type="noConversion"/>
  </si>
  <si>
    <t>轴3</t>
  </si>
  <si>
    <t>轴4</t>
  </si>
  <si>
    <t>轴5</t>
  </si>
  <si>
    <t>图标</t>
    <phoneticPr fontId="2" type="noConversion"/>
  </si>
  <si>
    <t>A+W</t>
    <phoneticPr fontId="2" type="noConversion"/>
  </si>
  <si>
    <t>B+W</t>
    <phoneticPr fontId="2" type="noConversion"/>
  </si>
  <si>
    <t>C+W</t>
    <phoneticPr fontId="2" type="noConversion"/>
  </si>
  <si>
    <t>D+W</t>
    <phoneticPr fontId="2" type="noConversion"/>
  </si>
  <si>
    <t>E+W</t>
    <phoneticPr fontId="2" type="noConversion"/>
  </si>
  <si>
    <t>非A非W</t>
    <phoneticPr fontId="2" type="noConversion"/>
  </si>
  <si>
    <t>非B非W</t>
    <phoneticPr fontId="2" type="noConversion"/>
  </si>
  <si>
    <t>非C非W</t>
    <phoneticPr fontId="2" type="noConversion"/>
  </si>
  <si>
    <t>非D非W</t>
    <phoneticPr fontId="2" type="noConversion"/>
  </si>
  <si>
    <t>非E非W</t>
    <phoneticPr fontId="2" type="noConversion"/>
  </si>
  <si>
    <t>赢取情况</t>
    <phoneticPr fontId="2" type="noConversion"/>
  </si>
  <si>
    <t>预设赔率</t>
    <phoneticPr fontId="2" type="noConversion"/>
  </si>
  <si>
    <t>AW-AW-AW-非A非W-任意</t>
    <phoneticPr fontId="2" type="noConversion"/>
  </si>
  <si>
    <t>牌面</t>
    <phoneticPr fontId="2" type="noConversion"/>
  </si>
  <si>
    <t>符合次数</t>
    <phoneticPr fontId="2" type="noConversion"/>
  </si>
  <si>
    <t>总次数</t>
    <phoneticPr fontId="2" type="noConversion"/>
  </si>
  <si>
    <t>Base game</t>
    <phoneticPr fontId="2" type="noConversion"/>
  </si>
  <si>
    <t>出现概率</t>
    <phoneticPr fontId="2" type="noConversion"/>
  </si>
  <si>
    <t>RTP占比</t>
    <phoneticPr fontId="2" type="noConversion"/>
  </si>
  <si>
    <t>3A</t>
    <phoneticPr fontId="2" type="noConversion"/>
  </si>
  <si>
    <t>4A</t>
    <phoneticPr fontId="2" type="noConversion"/>
  </si>
  <si>
    <t>AW-AW-AW-AW-非A非W</t>
    <phoneticPr fontId="2" type="noConversion"/>
  </si>
  <si>
    <t>5A</t>
    <phoneticPr fontId="2" type="noConversion"/>
  </si>
  <si>
    <t>AW-AW-AW-AW-AW</t>
    <phoneticPr fontId="2" type="noConversion"/>
  </si>
  <si>
    <t>3B</t>
    <phoneticPr fontId="2" type="noConversion"/>
  </si>
  <si>
    <t>4B</t>
    <phoneticPr fontId="2" type="noConversion"/>
  </si>
  <si>
    <t>5B</t>
    <phoneticPr fontId="2" type="noConversion"/>
  </si>
  <si>
    <t>3C</t>
    <phoneticPr fontId="2" type="noConversion"/>
  </si>
  <si>
    <t>4C</t>
    <phoneticPr fontId="2" type="noConversion"/>
  </si>
  <si>
    <t>5C</t>
    <phoneticPr fontId="2" type="noConversion"/>
  </si>
  <si>
    <t>3E</t>
    <phoneticPr fontId="2" type="noConversion"/>
  </si>
  <si>
    <t>4E</t>
    <phoneticPr fontId="2" type="noConversion"/>
  </si>
  <si>
    <t>5E</t>
    <phoneticPr fontId="2" type="noConversion"/>
  </si>
  <si>
    <t>BW-BW-BW-非B非W-任意</t>
    <phoneticPr fontId="2" type="noConversion"/>
  </si>
  <si>
    <t>BW-BW-BW-BW-非B非W</t>
    <phoneticPr fontId="2" type="noConversion"/>
  </si>
  <si>
    <t>S</t>
    <phoneticPr fontId="2" type="noConversion"/>
  </si>
  <si>
    <t>J</t>
    <phoneticPr fontId="2" type="noConversion"/>
  </si>
  <si>
    <t>BW-BW-BW-BW-BW</t>
    <phoneticPr fontId="2" type="noConversion"/>
  </si>
  <si>
    <t>个数</t>
    <phoneticPr fontId="2" type="noConversion"/>
  </si>
  <si>
    <t>SUM</t>
    <phoneticPr fontId="2" type="noConversion"/>
  </si>
  <si>
    <t>CW-CW-CW-非C非W-任意</t>
    <phoneticPr fontId="2" type="noConversion"/>
  </si>
  <si>
    <t>CW-CW-CW-CW-非C非W</t>
    <phoneticPr fontId="2" type="noConversion"/>
  </si>
  <si>
    <t>CW-CW-CW-CW-CW</t>
    <phoneticPr fontId="2" type="noConversion"/>
  </si>
  <si>
    <t>EW-EW-EW-非E非W-任意</t>
    <phoneticPr fontId="2" type="noConversion"/>
  </si>
  <si>
    <t>EW-EW-EW-EW-非E非W</t>
    <phoneticPr fontId="2" type="noConversion"/>
  </si>
  <si>
    <t>EW-EW-EW-EW-EW</t>
    <phoneticPr fontId="2" type="noConversion"/>
  </si>
  <si>
    <t>3D</t>
    <phoneticPr fontId="2" type="noConversion"/>
  </si>
  <si>
    <t>4D</t>
    <phoneticPr fontId="2" type="noConversion"/>
  </si>
  <si>
    <t>5D</t>
    <phoneticPr fontId="2" type="noConversion"/>
  </si>
  <si>
    <t>DW-DW-DW-非D非W-任意</t>
    <phoneticPr fontId="2" type="noConversion"/>
  </si>
  <si>
    <t>DW-DW-DW-DW-非D非W</t>
    <phoneticPr fontId="2" type="noConversion"/>
  </si>
  <si>
    <t>DW-DW-DW-DW-DW</t>
    <phoneticPr fontId="2" type="noConversion"/>
  </si>
  <si>
    <t>FG游戏</t>
    <phoneticPr fontId="2" type="noConversion"/>
  </si>
  <si>
    <t>3S</t>
    <phoneticPr fontId="2" type="noConversion"/>
  </si>
  <si>
    <t>4S</t>
    <phoneticPr fontId="2" type="noConversion"/>
  </si>
  <si>
    <t>5S</t>
    <phoneticPr fontId="2" type="noConversion"/>
  </si>
  <si>
    <t>3S的几率</t>
    <phoneticPr fontId="2" type="noConversion"/>
  </si>
  <si>
    <t>4S的几率</t>
    <phoneticPr fontId="2" type="noConversion"/>
  </si>
  <si>
    <t>5S的几率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</si>
</sst>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6">
    <font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236B-897A-0542-9689-4671E582FCB2}">
  <dimension ref="A3:AD51"/>
  <sheetViews>
    <sheetView tabSelected="1" topLeftCell="M31" zoomScale="187" zoomScaleNormal="210" workbookViewId="0">
      <selection activeCell="K48" sqref="K48"/>
    </sheetView>
  </sheetViews>
  <sheetFormatPr baseColWidth="10" defaultRowHeight="16"/>
  <cols>
    <col min="7" max="7" width="17.83203125" customWidth="1"/>
  </cols>
  <sheetData>
    <row r="3" spans="1:30">
      <c r="A3" t="s">
        <v>29</v>
      </c>
      <c r="Q3" t="s">
        <v>65</v>
      </c>
    </row>
    <row r="4" spans="1:30">
      <c r="A4" t="s">
        <v>0</v>
      </c>
      <c r="B4" t="s">
        <v>1</v>
      </c>
      <c r="C4" t="s">
        <v>8</v>
      </c>
      <c r="D4" t="s">
        <v>9</v>
      </c>
      <c r="E4" t="s">
        <v>10</v>
      </c>
      <c r="F4" t="s">
        <v>11</v>
      </c>
      <c r="I4" t="s">
        <v>12</v>
      </c>
      <c r="J4" t="s">
        <v>1</v>
      </c>
      <c r="K4" t="s">
        <v>8</v>
      </c>
      <c r="L4" t="s">
        <v>9</v>
      </c>
      <c r="M4" t="s">
        <v>10</v>
      </c>
      <c r="N4" t="s">
        <v>11</v>
      </c>
      <c r="Q4" t="s">
        <v>0</v>
      </c>
      <c r="R4" t="s">
        <v>1</v>
      </c>
      <c r="Y4" t="s">
        <v>12</v>
      </c>
      <c r="Z4" t="s">
        <v>1</v>
      </c>
      <c r="AA4" t="s">
        <v>8</v>
      </c>
      <c r="AB4" t="s">
        <v>9</v>
      </c>
      <c r="AC4" t="s">
        <v>10</v>
      </c>
      <c r="AD4" t="s">
        <v>11</v>
      </c>
    </row>
    <row r="5" spans="1:30">
      <c r="A5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I5" t="s">
        <v>2</v>
      </c>
      <c r="J5">
        <f>COUNTIF(B5:B25,"A")</f>
        <v>2</v>
      </c>
      <c r="K5">
        <f>COUNTIF(C5:C25,"A")</f>
        <v>2</v>
      </c>
      <c r="L5">
        <f>COUNTIF(D5:D25,"A")</f>
        <v>2</v>
      </c>
      <c r="M5">
        <f>COUNTIF(E5:E25,"A")</f>
        <v>2</v>
      </c>
      <c r="N5">
        <f>COUNTIF(F5:F25,"A")</f>
        <v>2</v>
      </c>
      <c r="Q5">
        <v>1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Y5" t="s">
        <v>2</v>
      </c>
      <c r="Z5">
        <f>COUNTIF(R5:R25,"A")</f>
        <v>1</v>
      </c>
      <c r="AA5">
        <f>COUNTIF(S5:S25,"A")</f>
        <v>0</v>
      </c>
      <c r="AB5">
        <f>COUNTIF(T5:T25,"A")</f>
        <v>0</v>
      </c>
      <c r="AC5">
        <f>COUNTIF(U5:U25,"A")</f>
        <v>1</v>
      </c>
      <c r="AD5">
        <f>COUNTIF(V5:V25,"A")</f>
        <v>1</v>
      </c>
    </row>
    <row r="6" spans="1:30">
      <c r="A6">
        <v>2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I6" t="s">
        <v>3</v>
      </c>
      <c r="J6">
        <f>COUNTIF(B5:B25,"B")</f>
        <v>2</v>
      </c>
      <c r="K6">
        <f>COUNTIF(C5:C25,"B")</f>
        <v>2</v>
      </c>
      <c r="L6">
        <f>COUNTIF(D5:D25,"B")</f>
        <v>2</v>
      </c>
      <c r="M6">
        <f>COUNTIF(E5:E25,"B")</f>
        <v>2</v>
      </c>
      <c r="N6">
        <f>COUNTIF(F5:F25,"B")</f>
        <v>2</v>
      </c>
      <c r="Q6">
        <v>2</v>
      </c>
      <c r="R6" t="s">
        <v>3</v>
      </c>
      <c r="S6" t="s">
        <v>4</v>
      </c>
      <c r="T6" t="s">
        <v>5</v>
      </c>
      <c r="U6" t="s">
        <v>6</v>
      </c>
      <c r="V6" t="s">
        <v>2</v>
      </c>
      <c r="Y6" t="s">
        <v>3</v>
      </c>
      <c r="Z6">
        <f>COUNTIF(R5:R25,"B")</f>
        <v>1</v>
      </c>
      <c r="AA6">
        <f>COUNTIF(S5:S25,"B")</f>
        <v>1</v>
      </c>
      <c r="AB6">
        <f>COUNTIF(T5:T25,"B")</f>
        <v>0</v>
      </c>
      <c r="AC6">
        <f>COUNTIF(U5:U25,"B")</f>
        <v>0</v>
      </c>
      <c r="AD6">
        <f>COUNTIF(V5:V25,"B")</f>
        <v>1</v>
      </c>
    </row>
    <row r="7" spans="1:30">
      <c r="A7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I7" t="s">
        <v>4</v>
      </c>
      <c r="J7">
        <f>COUNTIF(B5:B25,"C")</f>
        <v>2</v>
      </c>
      <c r="K7">
        <f>COUNTIF(C5:C25,"C")</f>
        <v>2</v>
      </c>
      <c r="L7">
        <f>COUNTIF(D5:D25,"C")</f>
        <v>2</v>
      </c>
      <c r="M7">
        <f>COUNTIF(E5:E25,"C")</f>
        <v>2</v>
      </c>
      <c r="N7">
        <f>COUNTIF(F5:F25,"C")</f>
        <v>2</v>
      </c>
      <c r="Q7">
        <v>5</v>
      </c>
      <c r="R7" t="s">
        <v>4</v>
      </c>
      <c r="S7" t="s">
        <v>5</v>
      </c>
      <c r="T7" t="s">
        <v>6</v>
      </c>
      <c r="U7" t="s">
        <v>2</v>
      </c>
      <c r="V7" t="s">
        <v>3</v>
      </c>
      <c r="Y7" t="s">
        <v>4</v>
      </c>
      <c r="Z7">
        <f>COUNTIF(R5:R25,"C")</f>
        <v>1</v>
      </c>
      <c r="AA7">
        <f>COUNTIF(S5:S25,"C")</f>
        <v>1</v>
      </c>
      <c r="AB7">
        <f>COUNTIF(T5:T25,"C")</f>
        <v>1</v>
      </c>
      <c r="AC7">
        <f>COUNTIF(U5:U25,"C")</f>
        <v>0</v>
      </c>
      <c r="AD7">
        <f>COUNTIF(V5:V25,"C")</f>
        <v>0</v>
      </c>
    </row>
    <row r="8" spans="1:30">
      <c r="A8">
        <v>4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I8" t="s">
        <v>5</v>
      </c>
      <c r="J8">
        <f>COUNTIF(B5:B25,"D")</f>
        <v>2</v>
      </c>
      <c r="K8">
        <f>COUNTIF(C5:C25,"D")</f>
        <v>2</v>
      </c>
      <c r="L8">
        <f>COUNTIF(D5:D25,"D")</f>
        <v>2</v>
      </c>
      <c r="M8">
        <f>COUNTIF(E5:E25,"D")</f>
        <v>2</v>
      </c>
      <c r="N8">
        <f>COUNTIF(F5:F25,"D")</f>
        <v>2</v>
      </c>
      <c r="Q8">
        <v>6</v>
      </c>
      <c r="R8" t="s">
        <v>49</v>
      </c>
      <c r="S8" t="s">
        <v>7</v>
      </c>
      <c r="T8" t="s">
        <v>7</v>
      </c>
      <c r="U8" t="s">
        <v>7</v>
      </c>
      <c r="V8" t="s">
        <v>7</v>
      </c>
      <c r="Y8" t="s">
        <v>5</v>
      </c>
      <c r="Z8">
        <f>COUNTIF(R5:R25,"D")</f>
        <v>0</v>
      </c>
      <c r="AA8">
        <f>COUNTIF(S5:S25,"D")</f>
        <v>1</v>
      </c>
      <c r="AB8">
        <f>COUNTIF(T5:T25,"D")</f>
        <v>1</v>
      </c>
      <c r="AC8">
        <f>COUNTIF(U5:U25,"D")</f>
        <v>1</v>
      </c>
      <c r="AD8">
        <f>COUNTIF(V5:V25,"D")</f>
        <v>0</v>
      </c>
    </row>
    <row r="9" spans="1:30">
      <c r="A9">
        <v>5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I9" t="s">
        <v>6</v>
      </c>
      <c r="J9">
        <f>COUNTIF(B5:B25,"E")</f>
        <v>2</v>
      </c>
      <c r="K9">
        <f>COUNTIF(C5:C25,"E")</f>
        <v>2</v>
      </c>
      <c r="L9">
        <f>COUNTIF(D5:D25,"E")</f>
        <v>2</v>
      </c>
      <c r="M9">
        <f>COUNTIF(E5:E25,"E")</f>
        <v>2</v>
      </c>
      <c r="N9">
        <f>COUNTIF(F5:F25,"E")</f>
        <v>2</v>
      </c>
      <c r="Q9">
        <v>7</v>
      </c>
      <c r="S9" t="s">
        <v>7</v>
      </c>
      <c r="T9" t="s">
        <v>7</v>
      </c>
      <c r="U9" t="s">
        <v>7</v>
      </c>
      <c r="V9" t="s">
        <v>7</v>
      </c>
      <c r="Y9" t="s">
        <v>6</v>
      </c>
      <c r="Z9">
        <f>COUNTIF(R5:R25,"E")</f>
        <v>0</v>
      </c>
      <c r="AA9">
        <f>COUNTIF(S5:S25,"E")</f>
        <v>0</v>
      </c>
      <c r="AB9">
        <f>COUNTIF(T5:T25,"E")</f>
        <v>1</v>
      </c>
      <c r="AC9">
        <f>COUNTIF(U5:U25,"E")</f>
        <v>1</v>
      </c>
      <c r="AD9">
        <f>COUNTIF(V5:V25,"E")</f>
        <v>1</v>
      </c>
    </row>
    <row r="10" spans="1:30">
      <c r="A10">
        <v>6</v>
      </c>
      <c r="B10" s="1" t="s">
        <v>2</v>
      </c>
      <c r="C10" s="1" t="s">
        <v>2</v>
      </c>
      <c r="D10" s="1" t="s">
        <v>2</v>
      </c>
      <c r="E10" s="1" t="s">
        <v>2</v>
      </c>
      <c r="F10" s="1" t="s">
        <v>2</v>
      </c>
      <c r="I10" t="s">
        <v>7</v>
      </c>
      <c r="J10">
        <f>COUNTIF(B5:B25,"W")</f>
        <v>0</v>
      </c>
      <c r="K10">
        <f>COUNTIF(C5:C25,"W")</f>
        <v>2</v>
      </c>
      <c r="L10">
        <f>COUNTIF(D5:D25,"W")</f>
        <v>1</v>
      </c>
      <c r="M10">
        <f>COUNTIF(E5:E25,"W")</f>
        <v>2</v>
      </c>
      <c r="N10">
        <f>COUNTIF(F5:F25,"W")</f>
        <v>1</v>
      </c>
      <c r="Q10">
        <v>8</v>
      </c>
      <c r="S10" t="s">
        <v>7</v>
      </c>
      <c r="T10" t="s">
        <v>7</v>
      </c>
      <c r="U10" t="s">
        <v>7</v>
      </c>
      <c r="V10" t="s">
        <v>7</v>
      </c>
      <c r="Y10" t="s">
        <v>7</v>
      </c>
      <c r="Z10">
        <f>COUNTIF(R5:R25,"W")</f>
        <v>0</v>
      </c>
      <c r="AA10">
        <f>COUNTIF(S5:S25,"W")</f>
        <v>3</v>
      </c>
      <c r="AB10">
        <f>COUNTIF(T5:T25,"W")</f>
        <v>3</v>
      </c>
      <c r="AC10">
        <f>COUNTIF(U5:U25,"W")</f>
        <v>3</v>
      </c>
      <c r="AD10">
        <f>COUNTIF(V5:V25,"W")</f>
        <v>3</v>
      </c>
    </row>
    <row r="11" spans="1:30">
      <c r="A11">
        <v>7</v>
      </c>
      <c r="B11" s="2" t="s">
        <v>3</v>
      </c>
      <c r="C11" s="2" t="s">
        <v>3</v>
      </c>
      <c r="D11" s="2" t="s">
        <v>3</v>
      </c>
      <c r="E11" s="2" t="s">
        <v>3</v>
      </c>
      <c r="F11" s="2" t="s">
        <v>3</v>
      </c>
      <c r="I11" s="11" t="s">
        <v>48</v>
      </c>
      <c r="J11">
        <f>COUNTIF(B5:B25,"S")</f>
        <v>1</v>
      </c>
      <c r="K11">
        <f>COUNTIF(C5:C25,"S")</f>
        <v>1</v>
      </c>
      <c r="L11">
        <f>COUNTIF(D5:D25,"S")</f>
        <v>1</v>
      </c>
      <c r="M11">
        <f>COUNTIF(E5:E25,"S")</f>
        <v>1</v>
      </c>
      <c r="N11">
        <f>COUNTIF(F5:F25,"S")</f>
        <v>1</v>
      </c>
      <c r="Q11">
        <v>9</v>
      </c>
      <c r="S11" t="s">
        <v>49</v>
      </c>
      <c r="T11" t="s">
        <v>49</v>
      </c>
      <c r="U11" t="s">
        <v>49</v>
      </c>
      <c r="V11" t="s">
        <v>49</v>
      </c>
      <c r="Y11" s="11" t="s">
        <v>48</v>
      </c>
      <c r="Z11">
        <f>COUNTIF(R5:R25,"S")</f>
        <v>0</v>
      </c>
      <c r="AA11">
        <f>COUNTIF(S5:S25,"S")</f>
        <v>0</v>
      </c>
      <c r="AB11">
        <f>COUNTIF(T5:T25,"S")</f>
        <v>0</v>
      </c>
      <c r="AC11">
        <f>COUNTIF(U5:U25,"S")</f>
        <v>0</v>
      </c>
      <c r="AD11">
        <f>COUNTIF(V5:V25,"S")</f>
        <v>0</v>
      </c>
    </row>
    <row r="12" spans="1:30">
      <c r="A12">
        <v>8</v>
      </c>
      <c r="B12" s="3"/>
      <c r="C12" s="3"/>
      <c r="D12" s="3"/>
      <c r="E12" s="3"/>
      <c r="F12" s="3"/>
      <c r="I12" s="11" t="s">
        <v>49</v>
      </c>
      <c r="J12">
        <f>COUNTIF(B5:B25,"J")</f>
        <v>1</v>
      </c>
      <c r="K12">
        <f>COUNTIF(C5:C25,"J")</f>
        <v>1</v>
      </c>
      <c r="L12">
        <f>COUNTIF(D5:D25,"J")</f>
        <v>1</v>
      </c>
      <c r="M12">
        <f>COUNTIF(E5:E25,"J")</f>
        <v>1</v>
      </c>
      <c r="N12">
        <f>COUNTIF(F5:F25,"J")</f>
        <v>1</v>
      </c>
      <c r="Y12" s="11" t="s">
        <v>49</v>
      </c>
      <c r="Z12">
        <f>COUNTIF(R5:R25,"J")</f>
        <v>1</v>
      </c>
      <c r="AA12">
        <f>COUNTIF(S5:S25,"J")</f>
        <v>1</v>
      </c>
      <c r="AB12">
        <f>COUNTIF(T5:T25,"J")</f>
        <v>1</v>
      </c>
      <c r="AC12">
        <f>COUNTIF(U5:U25,"J")</f>
        <v>1</v>
      </c>
      <c r="AD12">
        <f>COUNTIF(V5:V25,"J")</f>
        <v>1</v>
      </c>
    </row>
    <row r="13" spans="1:30">
      <c r="A13">
        <v>9</v>
      </c>
      <c r="B13" s="3" t="s">
        <v>4</v>
      </c>
      <c r="C13" s="3" t="s">
        <v>4</v>
      </c>
      <c r="D13" s="3" t="s">
        <v>4</v>
      </c>
      <c r="E13" s="3" t="s">
        <v>4</v>
      </c>
      <c r="F13" s="3" t="s">
        <v>4</v>
      </c>
    </row>
    <row r="14" spans="1:30">
      <c r="A14">
        <v>10</v>
      </c>
      <c r="B14" s="4"/>
      <c r="C14" s="4"/>
      <c r="D14" s="4"/>
      <c r="E14" s="4"/>
      <c r="F14" s="4"/>
    </row>
    <row r="15" spans="1:30">
      <c r="A15">
        <v>11</v>
      </c>
      <c r="B15" s="4" t="s">
        <v>5</v>
      </c>
      <c r="C15" s="4" t="s">
        <v>5</v>
      </c>
      <c r="D15" s="4" t="s">
        <v>5</v>
      </c>
      <c r="E15" s="4" t="s">
        <v>5</v>
      </c>
      <c r="F15" s="4" t="s">
        <v>5</v>
      </c>
      <c r="I15" t="s">
        <v>13</v>
      </c>
      <c r="J15">
        <f>J5+J10</f>
        <v>2</v>
      </c>
      <c r="K15">
        <f>K5+K10</f>
        <v>4</v>
      </c>
      <c r="L15">
        <f>L5+L10</f>
        <v>3</v>
      </c>
      <c r="M15">
        <f>M5+M10</f>
        <v>4</v>
      </c>
      <c r="N15">
        <f>N5+N10</f>
        <v>3</v>
      </c>
      <c r="Y15" t="s">
        <v>13</v>
      </c>
      <c r="Z15">
        <f>Z5+Z10</f>
        <v>1</v>
      </c>
      <c r="AA15">
        <f>AA5+AA10</f>
        <v>3</v>
      </c>
      <c r="AB15">
        <f>AB5+AB10</f>
        <v>3</v>
      </c>
      <c r="AC15">
        <f>AC5+AC10</f>
        <v>4</v>
      </c>
      <c r="AD15">
        <f>AD5+AD10</f>
        <v>4</v>
      </c>
    </row>
    <row r="16" spans="1:30">
      <c r="A16">
        <v>12</v>
      </c>
      <c r="B16" s="5"/>
      <c r="C16" s="5"/>
      <c r="D16" s="5"/>
      <c r="E16" s="5"/>
      <c r="F16" s="5"/>
      <c r="I16" t="s">
        <v>14</v>
      </c>
      <c r="J16">
        <f>J6+J10</f>
        <v>2</v>
      </c>
      <c r="K16">
        <f>K6+K10</f>
        <v>4</v>
      </c>
      <c r="L16">
        <f>L6+L10</f>
        <v>3</v>
      </c>
      <c r="M16">
        <f>M6+M10</f>
        <v>4</v>
      </c>
      <c r="N16">
        <f>N6+N10</f>
        <v>3</v>
      </c>
      <c r="Y16" t="s">
        <v>14</v>
      </c>
      <c r="Z16">
        <f>Z6+Z10</f>
        <v>1</v>
      </c>
      <c r="AA16">
        <f>AA6+AA10</f>
        <v>4</v>
      </c>
      <c r="AB16">
        <f>AB6+AB10</f>
        <v>3</v>
      </c>
      <c r="AC16">
        <f>AC6+AC10</f>
        <v>3</v>
      </c>
      <c r="AD16">
        <f>AD6+AD10</f>
        <v>4</v>
      </c>
    </row>
    <row r="17" spans="1:30">
      <c r="A17">
        <v>13</v>
      </c>
      <c r="B17" s="5"/>
      <c r="C17" s="5"/>
      <c r="D17" s="5"/>
      <c r="E17" s="5"/>
      <c r="F17" s="5"/>
      <c r="I17" t="s">
        <v>15</v>
      </c>
      <c r="J17">
        <f>J7+J10</f>
        <v>2</v>
      </c>
      <c r="K17">
        <f>K7+K10</f>
        <v>4</v>
      </c>
      <c r="L17">
        <f>L7+L10</f>
        <v>3</v>
      </c>
      <c r="M17">
        <f>M7+M10</f>
        <v>4</v>
      </c>
      <c r="N17">
        <f>N7+N10</f>
        <v>3</v>
      </c>
      <c r="Y17" t="s">
        <v>15</v>
      </c>
      <c r="Z17">
        <f>Z7+Z10</f>
        <v>1</v>
      </c>
      <c r="AA17">
        <f>AA7+AA10</f>
        <v>4</v>
      </c>
      <c r="AB17">
        <f>AB7+AB10</f>
        <v>4</v>
      </c>
      <c r="AC17">
        <f>AC7+AC10</f>
        <v>3</v>
      </c>
      <c r="AD17">
        <f>AD7+AD10</f>
        <v>3</v>
      </c>
    </row>
    <row r="18" spans="1:30">
      <c r="A18">
        <v>14</v>
      </c>
      <c r="B18" s="5" t="s">
        <v>6</v>
      </c>
      <c r="C18" s="5" t="s">
        <v>6</v>
      </c>
      <c r="D18" s="5" t="s">
        <v>6</v>
      </c>
      <c r="E18" s="5" t="s">
        <v>6</v>
      </c>
      <c r="F18" s="5" t="s">
        <v>6</v>
      </c>
      <c r="I18" t="s">
        <v>16</v>
      </c>
      <c r="J18">
        <f>J8+J10</f>
        <v>2</v>
      </c>
      <c r="K18">
        <f>K8+K10</f>
        <v>4</v>
      </c>
      <c r="L18">
        <f>L8+L10</f>
        <v>3</v>
      </c>
      <c r="M18">
        <f>M8+M10</f>
        <v>4</v>
      </c>
      <c r="N18">
        <f>N8+N10</f>
        <v>3</v>
      </c>
      <c r="Y18" t="s">
        <v>16</v>
      </c>
      <c r="Z18">
        <f>Z8+Z10</f>
        <v>0</v>
      </c>
      <c r="AA18">
        <f>AA8+AA10</f>
        <v>4</v>
      </c>
      <c r="AB18">
        <f>AB8+AB10</f>
        <v>4</v>
      </c>
      <c r="AC18">
        <f>AC8+AC10</f>
        <v>4</v>
      </c>
      <c r="AD18">
        <f>AD8+AD10</f>
        <v>3</v>
      </c>
    </row>
    <row r="19" spans="1:30">
      <c r="A19">
        <v>15</v>
      </c>
      <c r="B19" s="8" t="s">
        <v>48</v>
      </c>
      <c r="C19" s="6" t="s">
        <v>7</v>
      </c>
      <c r="D19" s="6" t="s">
        <v>7</v>
      </c>
      <c r="E19" s="6" t="s">
        <v>7</v>
      </c>
      <c r="F19" s="6" t="s">
        <v>7</v>
      </c>
      <c r="I19" t="s">
        <v>17</v>
      </c>
      <c r="J19">
        <f>J9+J10</f>
        <v>2</v>
      </c>
      <c r="K19">
        <f>K9+K10</f>
        <v>4</v>
      </c>
      <c r="L19">
        <f>L9+L10</f>
        <v>3</v>
      </c>
      <c r="M19">
        <f>M9+M10</f>
        <v>4</v>
      </c>
      <c r="N19">
        <f>N9+N10</f>
        <v>3</v>
      </c>
      <c r="Y19" t="s">
        <v>17</v>
      </c>
      <c r="Z19">
        <f>Z9+Z10</f>
        <v>0</v>
      </c>
      <c r="AA19">
        <f>AA9+AA10</f>
        <v>3</v>
      </c>
      <c r="AB19">
        <f>AB9+AB10</f>
        <v>4</v>
      </c>
      <c r="AC19">
        <f>AC9+AC10</f>
        <v>4</v>
      </c>
      <c r="AD19">
        <f>AD9+AD10</f>
        <v>4</v>
      </c>
    </row>
    <row r="20" spans="1:30">
      <c r="A20">
        <v>16</v>
      </c>
      <c r="B20" s="9" t="s">
        <v>49</v>
      </c>
      <c r="C20" s="7" t="s">
        <v>7</v>
      </c>
      <c r="D20" s="8" t="s">
        <v>48</v>
      </c>
      <c r="E20" s="7" t="s">
        <v>7</v>
      </c>
      <c r="F20" s="8" t="s">
        <v>48</v>
      </c>
      <c r="I20" t="s">
        <v>18</v>
      </c>
      <c r="J20">
        <f>SUM(J5:J10)-J15</f>
        <v>8</v>
      </c>
      <c r="K20">
        <f>SUM(K5:K10)-K15</f>
        <v>8</v>
      </c>
      <c r="L20">
        <f>SUM(L5:L10)-L15</f>
        <v>8</v>
      </c>
      <c r="M20">
        <f>SUM(M5:M10)-M15</f>
        <v>8</v>
      </c>
      <c r="N20">
        <f>SUM(N5:N10)-N15</f>
        <v>8</v>
      </c>
      <c r="Y20" t="s">
        <v>18</v>
      </c>
      <c r="Z20">
        <f>SUM(Z5:Z10)-Z15</f>
        <v>2</v>
      </c>
      <c r="AA20">
        <f>SUM(AA5:AA10)-AA15</f>
        <v>3</v>
      </c>
      <c r="AB20">
        <f>SUM(AB5:AB10)-AB15</f>
        <v>3</v>
      </c>
      <c r="AC20">
        <f>SUM(AC5:AC10)-AC15</f>
        <v>2</v>
      </c>
      <c r="AD20">
        <f>SUM(AD5:AD10)-AD15</f>
        <v>2</v>
      </c>
    </row>
    <row r="21" spans="1:30">
      <c r="A21">
        <v>17</v>
      </c>
      <c r="B21" s="13"/>
      <c r="C21" s="8" t="s">
        <v>48</v>
      </c>
      <c r="D21" s="9" t="s">
        <v>49</v>
      </c>
      <c r="E21" s="8" t="s">
        <v>48</v>
      </c>
      <c r="F21" s="9" t="s">
        <v>49</v>
      </c>
      <c r="I21" t="s">
        <v>19</v>
      </c>
      <c r="J21">
        <f>SUM(J5:J10)-J16</f>
        <v>8</v>
      </c>
      <c r="K21">
        <f>SUM(K5:K10)-K16</f>
        <v>8</v>
      </c>
      <c r="L21">
        <f>SUM(L5:L10)-L16</f>
        <v>8</v>
      </c>
      <c r="M21">
        <f>SUM(M5:M10)-M16</f>
        <v>8</v>
      </c>
      <c r="N21">
        <f>SUM(N5:N10)-N16</f>
        <v>8</v>
      </c>
      <c r="Y21" t="s">
        <v>19</v>
      </c>
      <c r="Z21">
        <f>SUM(Z5:Z10)-Z16</f>
        <v>2</v>
      </c>
      <c r="AA21">
        <f>SUM(AA5:AA10)-AA16</f>
        <v>2</v>
      </c>
      <c r="AB21">
        <f>SUM(AB5:AB10)-AB16</f>
        <v>3</v>
      </c>
      <c r="AC21">
        <f>SUM(AC5:AC10)-AC16</f>
        <v>3</v>
      </c>
      <c r="AD21">
        <f>SUM(AD5:AD10)-AD16</f>
        <v>2</v>
      </c>
    </row>
    <row r="22" spans="1:30">
      <c r="A22">
        <v>18</v>
      </c>
      <c r="B22" s="13"/>
      <c r="C22" s="9" t="s">
        <v>49</v>
      </c>
      <c r="E22" s="9" t="s">
        <v>49</v>
      </c>
      <c r="I22" t="s">
        <v>20</v>
      </c>
      <c r="J22">
        <f>SUM(J5:J10)-J17</f>
        <v>8</v>
      </c>
      <c r="K22">
        <f>SUM(K5:K10)-K17</f>
        <v>8</v>
      </c>
      <c r="L22">
        <f>SUM(L5:L10)-L17</f>
        <v>8</v>
      </c>
      <c r="M22">
        <f>SUM(M5:M10)-M17</f>
        <v>8</v>
      </c>
      <c r="N22">
        <f>SUM(N5:N10)-N17</f>
        <v>8</v>
      </c>
      <c r="Y22" t="s">
        <v>20</v>
      </c>
      <c r="Z22">
        <f>SUM(Z5:Z10)-Z17</f>
        <v>2</v>
      </c>
      <c r="AA22">
        <f>SUM(AA5:AA10)-AA17</f>
        <v>2</v>
      </c>
      <c r="AB22">
        <f>SUM(AB5:AB10)-AB17</f>
        <v>2</v>
      </c>
      <c r="AC22">
        <f>SUM(AC5:AC10)-AC17</f>
        <v>3</v>
      </c>
      <c r="AD22">
        <f>SUM(AD5:AD10)-AD17</f>
        <v>3</v>
      </c>
    </row>
    <row r="23" spans="1:30">
      <c r="A23">
        <v>19</v>
      </c>
      <c r="B23" s="13"/>
      <c r="I23" t="s">
        <v>21</v>
      </c>
      <c r="J23">
        <f>SUM(J5:J10)-J18</f>
        <v>8</v>
      </c>
      <c r="K23">
        <f>SUM(K5:K10)-K18</f>
        <v>8</v>
      </c>
      <c r="L23">
        <f>SUM(L5:L10)-L18</f>
        <v>8</v>
      </c>
      <c r="M23">
        <f>SUM(M5:M10)-M18</f>
        <v>8</v>
      </c>
      <c r="N23">
        <f>SUM(N5:N10)-N18</f>
        <v>8</v>
      </c>
      <c r="Y23" t="s">
        <v>21</v>
      </c>
      <c r="Z23">
        <f>SUM(Z5:Z10)-Z18</f>
        <v>3</v>
      </c>
      <c r="AA23">
        <f>SUM(AA5:AA10)-AA18</f>
        <v>2</v>
      </c>
      <c r="AB23">
        <f>SUM(AB5:AB10)-AB18</f>
        <v>2</v>
      </c>
      <c r="AC23">
        <f>SUM(AC5:AC10)-AC18</f>
        <v>2</v>
      </c>
      <c r="AD23">
        <f>SUM(AD5:AD10)-AD18</f>
        <v>3</v>
      </c>
    </row>
    <row r="24" spans="1:30">
      <c r="A24">
        <v>20</v>
      </c>
      <c r="B24" s="13"/>
      <c r="I24" t="s">
        <v>22</v>
      </c>
      <c r="J24">
        <f>SUM(J5:J10)-J19</f>
        <v>8</v>
      </c>
      <c r="K24">
        <f>SUM(K5:K10)-K19</f>
        <v>8</v>
      </c>
      <c r="L24">
        <f>SUM(L5:L10)-L19</f>
        <v>8</v>
      </c>
      <c r="M24">
        <f>SUM(M5:M10)-M19</f>
        <v>8</v>
      </c>
      <c r="N24">
        <f>SUM(N5:N10)-N19</f>
        <v>8</v>
      </c>
      <c r="Y24" t="s">
        <v>22</v>
      </c>
      <c r="Z24">
        <f>SUM(Z5:Z10)-Z19</f>
        <v>3</v>
      </c>
      <c r="AA24">
        <f>SUM(AA5:AA10)-AA19</f>
        <v>3</v>
      </c>
      <c r="AB24">
        <f>SUM(AB5:AB10)-AB19</f>
        <v>2</v>
      </c>
      <c r="AC24">
        <f>SUM(AC5:AC10)-AC19</f>
        <v>2</v>
      </c>
      <c r="AD24">
        <f>SUM(AD5:AD10)-AD19</f>
        <v>2</v>
      </c>
    </row>
    <row r="25" spans="1:30">
      <c r="A25">
        <v>21</v>
      </c>
      <c r="B25" s="13"/>
      <c r="C25" s="10"/>
    </row>
    <row r="26" spans="1:30">
      <c r="A26" t="s">
        <v>51</v>
      </c>
      <c r="B26">
        <f>COUNTA(B5:B25)</f>
        <v>12</v>
      </c>
      <c r="C26">
        <f>COUNTA(C5:C25)</f>
        <v>14</v>
      </c>
      <c r="D26">
        <f>COUNTA(D5:D25)</f>
        <v>13</v>
      </c>
      <c r="E26">
        <f>COUNTA(E5:E25)</f>
        <v>14</v>
      </c>
      <c r="F26">
        <f>COUNTA(F5:F25)</f>
        <v>13</v>
      </c>
      <c r="Q26" t="s">
        <v>51</v>
      </c>
      <c r="R26">
        <f>COUNTA(R5:R25)</f>
        <v>4</v>
      </c>
      <c r="S26">
        <f>COUNTA(S5:S25)</f>
        <v>7</v>
      </c>
      <c r="T26">
        <f>COUNTA(T5:T25)</f>
        <v>7</v>
      </c>
      <c r="U26">
        <f>COUNTA(U5:U25)</f>
        <v>7</v>
      </c>
      <c r="V26">
        <f>COUNTA(V5:V25)</f>
        <v>7</v>
      </c>
    </row>
    <row r="28" spans="1:30">
      <c r="A28" t="s">
        <v>28</v>
      </c>
      <c r="B28">
        <f>PRODUCT(B26:F26)</f>
        <v>397488</v>
      </c>
      <c r="Q28" t="s">
        <v>28</v>
      </c>
      <c r="R28">
        <f>PRODUCT(R26:V26)</f>
        <v>9604</v>
      </c>
      <c r="V28" s="14"/>
    </row>
    <row r="29" spans="1:30">
      <c r="A29" t="s">
        <v>23</v>
      </c>
      <c r="B29" t="s">
        <v>24</v>
      </c>
      <c r="C29" s="16" t="s">
        <v>26</v>
      </c>
      <c r="D29" s="16"/>
      <c r="E29" s="16"/>
      <c r="F29" t="s">
        <v>27</v>
      </c>
      <c r="G29" t="s">
        <v>30</v>
      </c>
      <c r="H29" t="s">
        <v>31</v>
      </c>
      <c r="I29" t="s">
        <v>28</v>
      </c>
      <c r="Q29" t="s">
        <v>23</v>
      </c>
      <c r="R29" t="s">
        <v>24</v>
      </c>
      <c r="S29" s="16" t="s">
        <v>26</v>
      </c>
      <c r="T29" s="16"/>
      <c r="U29" s="16"/>
      <c r="V29" t="s">
        <v>27</v>
      </c>
      <c r="W29" t="s">
        <v>30</v>
      </c>
      <c r="X29" t="s">
        <v>31</v>
      </c>
      <c r="Y29" t="s">
        <v>28</v>
      </c>
    </row>
    <row r="30" spans="1:30">
      <c r="A30" t="s">
        <v>32</v>
      </c>
      <c r="B30">
        <v>20</v>
      </c>
      <c r="C30" s="16" t="s">
        <v>25</v>
      </c>
      <c r="D30" s="16"/>
      <c r="E30" s="16"/>
      <c r="F30">
        <f>PRODUCT(J15:L15)*M20*F26</f>
        <v>2496</v>
      </c>
      <c r="G30">
        <f>F30/I30</f>
        <v>6.2794348508634227E-3</v>
      </c>
      <c r="H30">
        <f>G30*B30</f>
        <v>0.12558869701726846</v>
      </c>
      <c r="I30">
        <f>B28</f>
        <v>397488</v>
      </c>
      <c r="Q30" t="s">
        <v>32</v>
      </c>
      <c r="R30">
        <v>20</v>
      </c>
      <c r="S30" s="16" t="s">
        <v>25</v>
      </c>
      <c r="T30" s="16"/>
      <c r="U30" s="16"/>
      <c r="V30">
        <f>PRODUCT(Z15:AB15)*AC20*V26</f>
        <v>126</v>
      </c>
      <c r="W30">
        <f>V30/Y30</f>
        <v>1.3119533527696793E-2</v>
      </c>
      <c r="X30">
        <f>W30*R30</f>
        <v>0.26239067055393589</v>
      </c>
      <c r="Y30">
        <f>R28</f>
        <v>9604</v>
      </c>
    </row>
    <row r="31" spans="1:30">
      <c r="A31" t="s">
        <v>33</v>
      </c>
      <c r="B31">
        <v>40</v>
      </c>
      <c r="C31" s="16" t="s">
        <v>34</v>
      </c>
      <c r="D31" s="16"/>
      <c r="E31" s="16"/>
      <c r="F31">
        <f>PRODUCT(J15:M15)*N20</f>
        <v>768</v>
      </c>
      <c r="G31">
        <f t="shared" ref="G31:G44" si="0">F31/I31</f>
        <v>1.9321338002656683E-3</v>
      </c>
      <c r="H31">
        <f t="shared" ref="H31:H44" si="1">G31*B31</f>
        <v>7.7285352010626737E-2</v>
      </c>
      <c r="I31">
        <f>B28</f>
        <v>397488</v>
      </c>
      <c r="Q31" t="s">
        <v>33</v>
      </c>
      <c r="R31">
        <v>40</v>
      </c>
      <c r="S31" s="16" t="s">
        <v>34</v>
      </c>
      <c r="T31" s="16"/>
      <c r="U31" s="16"/>
      <c r="V31">
        <f>PRODUCT(Z15:AC15)*AD20</f>
        <v>72</v>
      </c>
      <c r="W31">
        <f t="shared" ref="W31:W44" si="2">V31/Y31</f>
        <v>7.4968763015410243E-3</v>
      </c>
      <c r="X31">
        <f t="shared" ref="X31:X44" si="3">W31*R31</f>
        <v>0.299875052061641</v>
      </c>
      <c r="Y31">
        <f>R28</f>
        <v>9604</v>
      </c>
    </row>
    <row r="32" spans="1:30">
      <c r="A32" t="s">
        <v>35</v>
      </c>
      <c r="B32">
        <v>80</v>
      </c>
      <c r="C32" s="16" t="s">
        <v>36</v>
      </c>
      <c r="D32" s="16"/>
      <c r="E32" s="16"/>
      <c r="F32">
        <f>PRODUCT(J15:N15)</f>
        <v>288</v>
      </c>
      <c r="G32">
        <f t="shared" si="0"/>
        <v>7.2455017509962568E-4</v>
      </c>
      <c r="H32">
        <f t="shared" si="1"/>
        <v>5.7964014007970056E-2</v>
      </c>
      <c r="I32">
        <f>B28</f>
        <v>397488</v>
      </c>
      <c r="Q32" t="s">
        <v>35</v>
      </c>
      <c r="R32">
        <v>80</v>
      </c>
      <c r="S32" s="16" t="s">
        <v>36</v>
      </c>
      <c r="T32" s="16"/>
      <c r="U32" s="16"/>
      <c r="V32">
        <f>PRODUCT(Z15:AD15)</f>
        <v>144</v>
      </c>
      <c r="W32">
        <f t="shared" si="2"/>
        <v>1.4993752603082049E-2</v>
      </c>
      <c r="X32">
        <f t="shared" si="3"/>
        <v>1.199500208246564</v>
      </c>
      <c r="Y32">
        <f>R28</f>
        <v>9604</v>
      </c>
    </row>
    <row r="33" spans="1:25">
      <c r="A33" t="s">
        <v>37</v>
      </c>
      <c r="B33">
        <v>15</v>
      </c>
      <c r="C33" s="16" t="s">
        <v>46</v>
      </c>
      <c r="D33" s="16"/>
      <c r="E33" s="16"/>
      <c r="F33">
        <f>PRODUCT(J16:L16)*M21*F26</f>
        <v>2496</v>
      </c>
      <c r="G33">
        <f t="shared" si="0"/>
        <v>6.2794348508634227E-3</v>
      </c>
      <c r="H33">
        <f t="shared" si="1"/>
        <v>9.4191522762951341E-2</v>
      </c>
      <c r="I33">
        <f>B28</f>
        <v>397488</v>
      </c>
      <c r="Q33" t="s">
        <v>37</v>
      </c>
      <c r="R33">
        <v>15</v>
      </c>
      <c r="S33" s="16" t="s">
        <v>46</v>
      </c>
      <c r="T33" s="16"/>
      <c r="U33" s="16"/>
      <c r="V33">
        <f>PRODUCT(Z16:AB16)*AC21*V26</f>
        <v>252</v>
      </c>
      <c r="W33">
        <f t="shared" si="2"/>
        <v>2.6239067055393587E-2</v>
      </c>
      <c r="X33">
        <f t="shared" si="3"/>
        <v>0.39358600583090381</v>
      </c>
      <c r="Y33">
        <f>R28</f>
        <v>9604</v>
      </c>
    </row>
    <row r="34" spans="1:25">
      <c r="A34" t="s">
        <v>38</v>
      </c>
      <c r="B34">
        <v>30</v>
      </c>
      <c r="C34" s="16" t="s">
        <v>47</v>
      </c>
      <c r="D34" s="16"/>
      <c r="E34" s="16"/>
      <c r="F34">
        <f>PRODUCT(J16:M16)*N21</f>
        <v>768</v>
      </c>
      <c r="G34">
        <f t="shared" si="0"/>
        <v>1.9321338002656683E-3</v>
      </c>
      <c r="H34">
        <f t="shared" si="1"/>
        <v>5.7964014007970049E-2</v>
      </c>
      <c r="I34">
        <f>B28</f>
        <v>397488</v>
      </c>
      <c r="Q34" t="s">
        <v>38</v>
      </c>
      <c r="R34">
        <v>30</v>
      </c>
      <c r="S34" s="16" t="s">
        <v>47</v>
      </c>
      <c r="T34" s="16"/>
      <c r="U34" s="16"/>
      <c r="V34">
        <f>PRODUCT(Z16:AC16)*AD21</f>
        <v>72</v>
      </c>
      <c r="W34">
        <f t="shared" si="2"/>
        <v>7.4968763015410243E-3</v>
      </c>
      <c r="X34">
        <f t="shared" si="3"/>
        <v>0.22490628904623072</v>
      </c>
      <c r="Y34">
        <f>R28</f>
        <v>9604</v>
      </c>
    </row>
    <row r="35" spans="1:25">
      <c r="A35" t="s">
        <v>39</v>
      </c>
      <c r="B35">
        <v>60</v>
      </c>
      <c r="C35" s="16" t="s">
        <v>50</v>
      </c>
      <c r="D35" s="16"/>
      <c r="E35" s="16"/>
      <c r="F35">
        <f>PRODUCT(J16:N16)</f>
        <v>288</v>
      </c>
      <c r="G35">
        <f t="shared" si="0"/>
        <v>7.2455017509962568E-4</v>
      </c>
      <c r="H35">
        <f t="shared" si="1"/>
        <v>4.3473010505977544E-2</v>
      </c>
      <c r="I35">
        <f>B28</f>
        <v>397488</v>
      </c>
      <c r="Q35" t="s">
        <v>39</v>
      </c>
      <c r="R35">
        <v>60</v>
      </c>
      <c r="S35" s="16" t="s">
        <v>50</v>
      </c>
      <c r="T35" s="16"/>
      <c r="U35" s="16"/>
      <c r="V35">
        <f>PRODUCT(Z16:AD16)</f>
        <v>144</v>
      </c>
      <c r="W35">
        <f t="shared" si="2"/>
        <v>1.4993752603082049E-2</v>
      </c>
      <c r="X35">
        <f t="shared" si="3"/>
        <v>0.89962515618492289</v>
      </c>
      <c r="Y35">
        <f>R28</f>
        <v>9604</v>
      </c>
    </row>
    <row r="36" spans="1:25">
      <c r="A36" t="s">
        <v>40</v>
      </c>
      <c r="B36">
        <v>10</v>
      </c>
      <c r="C36" s="16" t="s">
        <v>53</v>
      </c>
      <c r="D36" s="16"/>
      <c r="E36" s="16"/>
      <c r="F36">
        <f>PRODUCT(J17:L17)*M22*F26</f>
        <v>2496</v>
      </c>
      <c r="G36">
        <f t="shared" si="0"/>
        <v>6.2794348508634227E-3</v>
      </c>
      <c r="H36">
        <f t="shared" si="1"/>
        <v>6.2794348508634232E-2</v>
      </c>
      <c r="I36">
        <f>B28</f>
        <v>397488</v>
      </c>
      <c r="Q36" t="s">
        <v>40</v>
      </c>
      <c r="R36">
        <v>10</v>
      </c>
      <c r="S36" s="16" t="s">
        <v>53</v>
      </c>
      <c r="T36" s="16"/>
      <c r="U36" s="16"/>
      <c r="V36">
        <f>PRODUCT(Z17:AB17)*AC22*V26</f>
        <v>336</v>
      </c>
      <c r="W36">
        <f t="shared" si="2"/>
        <v>3.4985422740524783E-2</v>
      </c>
      <c r="X36">
        <f t="shared" si="3"/>
        <v>0.34985422740524785</v>
      </c>
      <c r="Y36">
        <f>R28</f>
        <v>9604</v>
      </c>
    </row>
    <row r="37" spans="1:25">
      <c r="A37" t="s">
        <v>41</v>
      </c>
      <c r="B37">
        <v>20</v>
      </c>
      <c r="C37" s="16" t="s">
        <v>54</v>
      </c>
      <c r="D37" s="16"/>
      <c r="E37" s="16"/>
      <c r="F37">
        <f>PRODUCT(J17:M17)*N22</f>
        <v>768</v>
      </c>
      <c r="G37">
        <f t="shared" si="0"/>
        <v>1.9321338002656683E-3</v>
      </c>
      <c r="H37">
        <f t="shared" si="1"/>
        <v>3.8642676005313369E-2</v>
      </c>
      <c r="I37">
        <f>B28</f>
        <v>397488</v>
      </c>
      <c r="Q37" t="s">
        <v>41</v>
      </c>
      <c r="R37">
        <v>20</v>
      </c>
      <c r="S37" s="16" t="s">
        <v>54</v>
      </c>
      <c r="T37" s="16"/>
      <c r="U37" s="16"/>
      <c r="V37">
        <f>PRODUCT(Z17:AC17)*AD22</f>
        <v>144</v>
      </c>
      <c r="W37">
        <f t="shared" si="2"/>
        <v>1.4993752603082049E-2</v>
      </c>
      <c r="X37">
        <f t="shared" si="3"/>
        <v>0.299875052061641</v>
      </c>
      <c r="Y37">
        <f>R28</f>
        <v>9604</v>
      </c>
    </row>
    <row r="38" spans="1:25">
      <c r="A38" t="s">
        <v>42</v>
      </c>
      <c r="B38">
        <v>40</v>
      </c>
      <c r="C38" s="16" t="s">
        <v>55</v>
      </c>
      <c r="D38" s="16"/>
      <c r="E38" s="16"/>
      <c r="F38">
        <f>PRODUCT(J17:N17)</f>
        <v>288</v>
      </c>
      <c r="G38">
        <f t="shared" si="0"/>
        <v>7.2455017509962568E-4</v>
      </c>
      <c r="H38">
        <f t="shared" si="1"/>
        <v>2.8982007003985028E-2</v>
      </c>
      <c r="I38">
        <f>B28</f>
        <v>397488</v>
      </c>
      <c r="Q38" t="s">
        <v>42</v>
      </c>
      <c r="R38">
        <v>40</v>
      </c>
      <c r="S38" s="16" t="s">
        <v>55</v>
      </c>
      <c r="T38" s="16"/>
      <c r="U38" s="16"/>
      <c r="V38">
        <f>PRODUCT(Z17:AD17)</f>
        <v>144</v>
      </c>
      <c r="W38">
        <f t="shared" si="2"/>
        <v>1.4993752603082049E-2</v>
      </c>
      <c r="X38">
        <f t="shared" si="3"/>
        <v>0.599750104123282</v>
      </c>
      <c r="Y38">
        <f>R28</f>
        <v>9604</v>
      </c>
    </row>
    <row r="39" spans="1:25">
      <c r="A39" t="s">
        <v>59</v>
      </c>
      <c r="B39">
        <v>10</v>
      </c>
      <c r="C39" s="12" t="s">
        <v>62</v>
      </c>
      <c r="D39" s="12"/>
      <c r="E39" s="12"/>
      <c r="F39">
        <f>PRODUCT(J18:L18)*M23*F26</f>
        <v>2496</v>
      </c>
      <c r="G39">
        <f t="shared" si="0"/>
        <v>6.2794348508634227E-3</v>
      </c>
      <c r="H39">
        <f t="shared" si="1"/>
        <v>6.2794348508634232E-2</v>
      </c>
      <c r="I39">
        <f>B28</f>
        <v>397488</v>
      </c>
      <c r="Q39" t="s">
        <v>59</v>
      </c>
      <c r="R39">
        <v>10</v>
      </c>
      <c r="S39" s="12" t="s">
        <v>62</v>
      </c>
      <c r="T39" s="12"/>
      <c r="U39" s="12"/>
      <c r="V39">
        <f>PRODUCT(Z18:AB18)*AC23*V26</f>
        <v>0</v>
      </c>
      <c r="W39">
        <f t="shared" si="2"/>
        <v>0</v>
      </c>
      <c r="X39">
        <f t="shared" si="3"/>
        <v>0</v>
      </c>
      <c r="Y39">
        <f>R28</f>
        <v>9604</v>
      </c>
    </row>
    <row r="40" spans="1:25">
      <c r="A40" t="s">
        <v>60</v>
      </c>
      <c r="B40">
        <v>15</v>
      </c>
      <c r="C40" s="12" t="s">
        <v>63</v>
      </c>
      <c r="D40" s="12"/>
      <c r="E40" s="12"/>
      <c r="F40">
        <f>PRODUCT(J18:M18)*N23</f>
        <v>768</v>
      </c>
      <c r="G40">
        <f t="shared" si="0"/>
        <v>1.9321338002656683E-3</v>
      </c>
      <c r="H40">
        <f t="shared" si="1"/>
        <v>2.8982007003985025E-2</v>
      </c>
      <c r="I40">
        <f>B28</f>
        <v>397488</v>
      </c>
      <c r="Q40" t="s">
        <v>60</v>
      </c>
      <c r="R40">
        <v>15</v>
      </c>
      <c r="S40" s="12" t="s">
        <v>63</v>
      </c>
      <c r="T40" s="12"/>
      <c r="U40" s="12"/>
      <c r="V40">
        <f>PRODUCT(Z18:AC18)*AD23</f>
        <v>0</v>
      </c>
      <c r="W40">
        <f t="shared" si="2"/>
        <v>0</v>
      </c>
      <c r="X40">
        <f t="shared" si="3"/>
        <v>0</v>
      </c>
      <c r="Y40">
        <f>R28</f>
        <v>9604</v>
      </c>
    </row>
    <row r="41" spans="1:25">
      <c r="A41" t="s">
        <v>61</v>
      </c>
      <c r="B41">
        <v>35</v>
      </c>
      <c r="C41" s="12" t="s">
        <v>64</v>
      </c>
      <c r="D41" s="12"/>
      <c r="E41" s="12"/>
      <c r="F41">
        <f>PRODUCT(J18:N18)</f>
        <v>288</v>
      </c>
      <c r="G41">
        <f t="shared" si="0"/>
        <v>7.2455017509962568E-4</v>
      </c>
      <c r="H41">
        <f t="shared" si="1"/>
        <v>2.5359256128486898E-2</v>
      </c>
      <c r="I41">
        <f>B28</f>
        <v>397488</v>
      </c>
      <c r="Q41" t="s">
        <v>61</v>
      </c>
      <c r="R41">
        <v>35</v>
      </c>
      <c r="S41" s="12" t="s">
        <v>64</v>
      </c>
      <c r="T41" s="12"/>
      <c r="U41" s="12"/>
      <c r="V41">
        <f>PRODUCT(Z18:AD18)</f>
        <v>0</v>
      </c>
      <c r="W41">
        <f t="shared" si="2"/>
        <v>0</v>
      </c>
      <c r="X41">
        <f t="shared" si="3"/>
        <v>0</v>
      </c>
      <c r="Y41">
        <f>R28</f>
        <v>9604</v>
      </c>
    </row>
    <row r="42" spans="1:25">
      <c r="A42" t="s">
        <v>43</v>
      </c>
      <c r="B42">
        <v>5</v>
      </c>
      <c r="C42" s="16" t="s">
        <v>56</v>
      </c>
      <c r="D42" s="16"/>
      <c r="E42" s="16"/>
      <c r="F42">
        <f>PRODUCT(J19:L19)*M24*F26</f>
        <v>2496</v>
      </c>
      <c r="G42">
        <f t="shared" si="0"/>
        <v>6.2794348508634227E-3</v>
      </c>
      <c r="H42">
        <f t="shared" si="1"/>
        <v>3.1397174254317116E-2</v>
      </c>
      <c r="I42">
        <f>B28</f>
        <v>397488</v>
      </c>
      <c r="Q42" t="s">
        <v>43</v>
      </c>
      <c r="R42">
        <v>5</v>
      </c>
      <c r="S42" s="16" t="s">
        <v>56</v>
      </c>
      <c r="T42" s="16"/>
      <c r="U42" s="16"/>
      <c r="V42">
        <f>PRODUCT(Z19:AB19)*AC24*V26</f>
        <v>0</v>
      </c>
      <c r="W42">
        <f t="shared" si="2"/>
        <v>0</v>
      </c>
      <c r="X42">
        <f t="shared" si="3"/>
        <v>0</v>
      </c>
      <c r="Y42">
        <f>R28</f>
        <v>9604</v>
      </c>
    </row>
    <row r="43" spans="1:25">
      <c r="A43" t="s">
        <v>44</v>
      </c>
      <c r="B43">
        <v>10</v>
      </c>
      <c r="C43" s="16" t="s">
        <v>57</v>
      </c>
      <c r="D43" s="16"/>
      <c r="E43" s="16"/>
      <c r="F43">
        <f>PRODUCT(J19:M19)*N24</f>
        <v>768</v>
      </c>
      <c r="G43">
        <f t="shared" si="0"/>
        <v>1.9321338002656683E-3</v>
      </c>
      <c r="H43">
        <f t="shared" si="1"/>
        <v>1.9321338002656684E-2</v>
      </c>
      <c r="I43">
        <f>B28</f>
        <v>397488</v>
      </c>
      <c r="Q43" t="s">
        <v>44</v>
      </c>
      <c r="R43">
        <v>10</v>
      </c>
      <c r="S43" s="16" t="s">
        <v>57</v>
      </c>
      <c r="T43" s="16"/>
      <c r="U43" s="16"/>
      <c r="V43">
        <f>PRODUCT(Z19:AC19)*AD24</f>
        <v>0</v>
      </c>
      <c r="W43">
        <f t="shared" si="2"/>
        <v>0</v>
      </c>
      <c r="X43">
        <f t="shared" si="3"/>
        <v>0</v>
      </c>
      <c r="Y43">
        <f>R28</f>
        <v>9604</v>
      </c>
    </row>
    <row r="44" spans="1:25">
      <c r="A44" t="s">
        <v>45</v>
      </c>
      <c r="B44">
        <v>20</v>
      </c>
      <c r="C44" s="16" t="s">
        <v>58</v>
      </c>
      <c r="D44" s="16"/>
      <c r="E44" s="16"/>
      <c r="F44">
        <f>PRODUCT(J19:N19)</f>
        <v>288</v>
      </c>
      <c r="G44">
        <f t="shared" si="0"/>
        <v>7.2455017509962568E-4</v>
      </c>
      <c r="H44">
        <f t="shared" si="1"/>
        <v>1.4491003501992514E-2</v>
      </c>
      <c r="I44">
        <f>B28</f>
        <v>397488</v>
      </c>
      <c r="Q44" t="s">
        <v>45</v>
      </c>
      <c r="R44">
        <v>20</v>
      </c>
      <c r="S44" s="16" t="s">
        <v>58</v>
      </c>
      <c r="T44" s="16"/>
      <c r="U44" s="16"/>
      <c r="V44">
        <f>PRODUCT(Z19:AD19)</f>
        <v>0</v>
      </c>
      <c r="W44">
        <f t="shared" si="2"/>
        <v>0</v>
      </c>
      <c r="X44">
        <f t="shared" si="3"/>
        <v>0</v>
      </c>
      <c r="Y44">
        <f>R28</f>
        <v>9604</v>
      </c>
    </row>
    <row r="45" spans="1:25">
      <c r="A45" t="s">
        <v>66</v>
      </c>
      <c r="C45" s="12"/>
      <c r="D45" s="12"/>
      <c r="E45" s="12"/>
      <c r="H45">
        <v>0.1</v>
      </c>
      <c r="S45" s="12"/>
      <c r="T45" s="12"/>
      <c r="U45" s="12"/>
    </row>
    <row r="46" spans="1:25">
      <c r="A46" t="s">
        <v>67</v>
      </c>
      <c r="C46" s="12"/>
      <c r="D46" s="12"/>
      <c r="E46" s="12"/>
      <c r="H46">
        <v>7.0000000000000007E-2</v>
      </c>
      <c r="S46" s="12"/>
      <c r="T46" s="12"/>
      <c r="U46" s="12"/>
    </row>
    <row r="47" spans="1:25">
      <c r="A47" t="s">
        <v>68</v>
      </c>
      <c r="H47">
        <v>0.03</v>
      </c>
    </row>
    <row r="48" spans="1:25">
      <c r="A48" t="s">
        <v>52</v>
      </c>
      <c r="H48">
        <f>SUM(H30:H47)</f>
        <v>0.96923076923076912</v>
      </c>
      <c r="Q48" t="s">
        <v>52</v>
      </c>
      <c r="X48">
        <f>SUM(X30:X47)</f>
        <v>4.52936276551437</v>
      </c>
    </row>
    <row r="49" spans="17:18">
      <c r="Q49" t="s">
        <v>69</v>
      </c>
      <c r="R49" s="14">
        <f>H45/4/X48</f>
        <v>5.5195402298850562E-3</v>
      </c>
    </row>
    <row r="50" spans="17:18">
      <c r="Q50" t="s">
        <v>70</v>
      </c>
      <c r="R50" s="14">
        <f>H46/7/X48</f>
        <v>2.2078160919540226E-3</v>
      </c>
    </row>
    <row r="51" spans="17:18">
      <c r="Q51" s="15" t="s">
        <v>71</v>
      </c>
      <c r="R51" s="14">
        <f>H47/10/X48</f>
        <v>6.6234482758620674E-4</v>
      </c>
    </row>
  </sheetData>
  <mergeCells count="26">
    <mergeCell ref="C34:E34"/>
    <mergeCell ref="C29:E29"/>
    <mergeCell ref="C30:E30"/>
    <mergeCell ref="C31:E31"/>
    <mergeCell ref="C32:E32"/>
    <mergeCell ref="C33:E33"/>
    <mergeCell ref="C44:E44"/>
    <mergeCell ref="C35:E35"/>
    <mergeCell ref="C36:E36"/>
    <mergeCell ref="C37:E37"/>
    <mergeCell ref="C38:E38"/>
    <mergeCell ref="C42:E42"/>
    <mergeCell ref="C43:E43"/>
    <mergeCell ref="S29:U29"/>
    <mergeCell ref="S30:U30"/>
    <mergeCell ref="S31:U31"/>
    <mergeCell ref="S32:U32"/>
    <mergeCell ref="S33:U33"/>
    <mergeCell ref="S42:U42"/>
    <mergeCell ref="S43:U43"/>
    <mergeCell ref="S44:U44"/>
    <mergeCell ref="S34:U34"/>
    <mergeCell ref="S35:U35"/>
    <mergeCell ref="S36:U36"/>
    <mergeCell ref="S37:U37"/>
    <mergeCell ref="S38:U3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2022-11-17T02:48:44Z</dcterms:created>
  <dcterms:modified xsi:type="dcterms:W3CDTF">2022-12-12T02:13:42Z</dcterms:modified>
</cp:coreProperties>
</file>