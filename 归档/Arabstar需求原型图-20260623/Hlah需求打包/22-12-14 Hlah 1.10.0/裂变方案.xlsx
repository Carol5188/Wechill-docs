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12-14 Hlah 1.10.0/"/>
    </mc:Choice>
  </mc:AlternateContent>
  <xr:revisionPtr revIDLastSave="0" documentId="13_ncr:1_{C197E395-4CE2-884A-9CE7-B36D0FE6F6CC}" xr6:coauthVersionLast="47" xr6:coauthVersionMax="47" xr10:uidLastSave="{00000000-0000-0000-0000-000000000000}"/>
  <bookViews>
    <workbookView xWindow="0" yWindow="500" windowWidth="35840" windowHeight="21900" activeTab="1" xr2:uid="{A7D778D7-48D4-D14B-B320-BE5C0BD41660}"/>
  </bookViews>
  <sheets>
    <sheet name="1版" sheetId="1" r:id="rId1"/>
    <sheet name="2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2" i="2" l="1"/>
  <c r="T8" i="2"/>
  <c r="V12" i="2"/>
  <c r="V13" i="2" s="1"/>
  <c r="U12" i="2"/>
  <c r="U13" i="2" s="1"/>
  <c r="V9" i="2"/>
  <c r="V8" i="2"/>
  <c r="U8" i="2"/>
  <c r="U9" i="2" s="1"/>
  <c r="V4" i="2"/>
  <c r="U4" i="2"/>
  <c r="T4" i="2"/>
  <c r="T13" i="2"/>
  <c r="T9" i="2"/>
  <c r="V5" i="2"/>
  <c r="U5" i="2"/>
  <c r="T5" i="2"/>
  <c r="P12" i="2"/>
  <c r="P13" i="2" s="1"/>
  <c r="O12" i="2"/>
  <c r="O13" i="2" s="1"/>
  <c r="N12" i="2"/>
  <c r="N13" i="2" s="1"/>
  <c r="Q13" i="2" s="1"/>
  <c r="R13" i="2" s="1"/>
  <c r="J12" i="2"/>
  <c r="J13" i="2" s="1"/>
  <c r="I12" i="2"/>
  <c r="I13" i="2" s="1"/>
  <c r="H12" i="2"/>
  <c r="H13" i="2" s="1"/>
  <c r="K13" i="2" s="1"/>
  <c r="L13" i="2" s="1"/>
  <c r="D12" i="2"/>
  <c r="D13" i="2" s="1"/>
  <c r="C12" i="2"/>
  <c r="C13" i="2" s="1"/>
  <c r="B12" i="2"/>
  <c r="B13" i="2" s="1"/>
  <c r="E13" i="2" s="1"/>
  <c r="F13" i="2" s="1"/>
  <c r="P8" i="2"/>
  <c r="P9" i="2" s="1"/>
  <c r="O8" i="2"/>
  <c r="O9" i="2" s="1"/>
  <c r="N8" i="2"/>
  <c r="N9" i="2" s="1"/>
  <c r="Q9" i="2" s="1"/>
  <c r="R9" i="2" s="1"/>
  <c r="J8" i="2"/>
  <c r="J9" i="2" s="1"/>
  <c r="I8" i="2"/>
  <c r="I9" i="2" s="1"/>
  <c r="H8" i="2"/>
  <c r="H9" i="2" s="1"/>
  <c r="K9" i="2" s="1"/>
  <c r="L9" i="2" s="1"/>
  <c r="D8" i="2"/>
  <c r="D9" i="2" s="1"/>
  <c r="C8" i="2"/>
  <c r="C9" i="2" s="1"/>
  <c r="B8" i="2"/>
  <c r="B9" i="2" s="1"/>
  <c r="E9" i="2" s="1"/>
  <c r="F9" i="2" s="1"/>
  <c r="P4" i="2"/>
  <c r="P5" i="2" s="1"/>
  <c r="O4" i="2"/>
  <c r="O5" i="2" s="1"/>
  <c r="N4" i="2"/>
  <c r="N5" i="2" s="1"/>
  <c r="Q5" i="2" s="1"/>
  <c r="R5" i="2" s="1"/>
  <c r="J4" i="2"/>
  <c r="J5" i="2" s="1"/>
  <c r="I4" i="2"/>
  <c r="I5" i="2" s="1"/>
  <c r="H4" i="2"/>
  <c r="H5" i="2" s="1"/>
  <c r="D4" i="2"/>
  <c r="D5" i="2" s="1"/>
  <c r="C4" i="2"/>
  <c r="C5" i="2" s="1"/>
  <c r="B4" i="2"/>
  <c r="B5" i="2" s="1"/>
  <c r="E5" i="2" s="1"/>
  <c r="F5" i="2" s="1"/>
  <c r="W13" i="2" l="1"/>
  <c r="X13" i="2" s="1"/>
  <c r="W9" i="2"/>
  <c r="X9" i="2" s="1"/>
  <c r="W5" i="2"/>
  <c r="X5" i="2" s="1"/>
  <c r="K5" i="2"/>
  <c r="L5" i="2" s="1"/>
</calcChain>
</file>

<file path=xl/sharedStrings.xml><?xml version="1.0" encoding="utf-8"?>
<sst xmlns="http://schemas.openxmlformats.org/spreadsheetml/2006/main" count="22" uniqueCount="19">
  <si>
    <t>邀请用户注册</t>
    <phoneticPr fontId="1" type="noConversion"/>
  </si>
  <si>
    <t>解冻金币的路径</t>
    <phoneticPr fontId="1" type="noConversion"/>
  </si>
  <si>
    <t>②下级用户成为公会成员并获得140黄金</t>
    <phoneticPr fontId="1" type="noConversion"/>
  </si>
  <si>
    <t>③下级用户成为币商</t>
    <phoneticPr fontId="1" type="noConversion"/>
  </si>
  <si>
    <t>上级获得冻结金币200</t>
    <phoneticPr fontId="1" type="noConversion"/>
  </si>
  <si>
    <t>下级用户首次充值</t>
    <phoneticPr fontId="1" type="noConversion"/>
  </si>
  <si>
    <t>上级获得下级首次充值总额15%金币</t>
    <phoneticPr fontId="1" type="noConversion"/>
  </si>
  <si>
    <t>下级获得buff - 24h内游戏获得金币+1%</t>
    <phoneticPr fontId="1" type="noConversion"/>
  </si>
  <si>
    <t>下级用户后续充值</t>
    <phoneticPr fontId="1" type="noConversion"/>
  </si>
  <si>
    <t>补充逻辑</t>
    <phoneticPr fontId="1" type="noConversion"/>
  </si>
  <si>
    <t>满1000金币才可兑换到钱包内</t>
    <phoneticPr fontId="1" type="noConversion"/>
  </si>
  <si>
    <t>上级获得下级首次充值总额5%金币</t>
    <phoneticPr fontId="1" type="noConversion"/>
  </si>
  <si>
    <t>①下级用户任意首次充值</t>
    <phoneticPr fontId="1" type="noConversion"/>
  </si>
  <si>
    <t>备注：首次最低充值共会返还200+105=305金币给上级用户</t>
    <phoneticPr fontId="1" type="noConversion"/>
  </si>
  <si>
    <t>备选方案：①+1%黄金钻石获得
②+10%财富升级速度
③+10%魅力升级速度</t>
    <phoneticPr fontId="1" type="noConversion"/>
  </si>
  <si>
    <t>3天 - 10%
3-30天 - 5%
30 - 60天 - 2%</t>
    <phoneticPr fontId="1" type="noConversion"/>
  </si>
  <si>
    <t>3天 - 15%
3-30天 - 5%
30 - 60天 - 2%</t>
    <phoneticPr fontId="1" type="noConversion"/>
  </si>
  <si>
    <t>3天 - 20%
3-30天 - 5%
30 - 60天 - 2%</t>
    <phoneticPr fontId="1" type="noConversion"/>
  </si>
  <si>
    <t>裂变成本率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</si>
</sst>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07F1-5952-694D-A500-B4525F2245C6}">
  <dimension ref="A1:D8"/>
  <sheetViews>
    <sheetView zoomScale="125" workbookViewId="0">
      <selection activeCell="A38" sqref="A38"/>
    </sheetView>
  </sheetViews>
  <sheetFormatPr baseColWidth="10" defaultRowHeight="16"/>
  <cols>
    <col min="1" max="1" width="24" customWidth="1"/>
    <col min="2" max="2" width="36.5" customWidth="1"/>
    <col min="3" max="3" width="41.83203125" customWidth="1"/>
    <col min="4" max="4" width="54" customWidth="1"/>
  </cols>
  <sheetData>
    <row r="1" spans="1:4">
      <c r="A1" s="2" t="s">
        <v>0</v>
      </c>
      <c r="B1" t="s">
        <v>4</v>
      </c>
    </row>
    <row r="2" spans="1:4">
      <c r="A2" s="2"/>
      <c r="B2" s="2" t="s">
        <v>1</v>
      </c>
      <c r="C2" t="s">
        <v>12</v>
      </c>
      <c r="D2" t="s">
        <v>13</v>
      </c>
    </row>
    <row r="3" spans="1:4">
      <c r="A3" s="2"/>
      <c r="B3" s="2"/>
      <c r="C3" t="s">
        <v>2</v>
      </c>
    </row>
    <row r="4" spans="1:4">
      <c r="A4" s="2"/>
      <c r="B4" s="2"/>
      <c r="C4" t="s">
        <v>3</v>
      </c>
    </row>
    <row r="5" spans="1:4">
      <c r="A5" s="2" t="s">
        <v>5</v>
      </c>
      <c r="B5" t="s">
        <v>6</v>
      </c>
    </row>
    <row r="6" spans="1:4" ht="51">
      <c r="A6" s="2"/>
      <c r="B6" t="s">
        <v>7</v>
      </c>
      <c r="D6" s="1" t="s">
        <v>14</v>
      </c>
    </row>
    <row r="7" spans="1:4">
      <c r="A7" t="s">
        <v>8</v>
      </c>
      <c r="B7" t="s">
        <v>11</v>
      </c>
    </row>
    <row r="8" spans="1:4">
      <c r="A8" t="s">
        <v>9</v>
      </c>
      <c r="B8" t="s">
        <v>10</v>
      </c>
    </row>
  </sheetData>
  <mergeCells count="3">
    <mergeCell ref="B2:B4"/>
    <mergeCell ref="A1:A4"/>
    <mergeCell ref="A5:A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2AD9-9443-BC4F-A8C8-9E8612681652}">
  <dimension ref="A1:X13"/>
  <sheetViews>
    <sheetView tabSelected="1" workbookViewId="0">
      <selection activeCell="L31" sqref="L31"/>
    </sheetView>
  </sheetViews>
  <sheetFormatPr baseColWidth="10" defaultRowHeight="16"/>
  <cols>
    <col min="1" max="1" width="19" customWidth="1"/>
  </cols>
  <sheetData>
    <row r="1" spans="1:24">
      <c r="E1" s="3"/>
    </row>
    <row r="2" spans="1:24">
      <c r="B2" s="9">
        <v>3</v>
      </c>
      <c r="C2" s="9">
        <v>5</v>
      </c>
      <c r="D2" s="9">
        <v>2</v>
      </c>
      <c r="E2" s="9"/>
      <c r="F2" s="9" t="s">
        <v>18</v>
      </c>
      <c r="G2" s="9"/>
      <c r="H2" s="9">
        <v>5</v>
      </c>
      <c r="I2" s="9">
        <v>3</v>
      </c>
      <c r="J2" s="9">
        <v>2</v>
      </c>
      <c r="K2" s="9"/>
      <c r="L2" s="9" t="s">
        <v>18</v>
      </c>
      <c r="M2" s="9"/>
      <c r="N2" s="9">
        <v>8</v>
      </c>
      <c r="O2" s="9">
        <v>1</v>
      </c>
      <c r="P2" s="9">
        <v>1</v>
      </c>
      <c r="Q2" s="9"/>
      <c r="R2" s="9" t="s">
        <v>18</v>
      </c>
      <c r="S2" s="8"/>
      <c r="T2" s="9">
        <v>10</v>
      </c>
      <c r="U2" s="9">
        <v>0</v>
      </c>
      <c r="V2" s="9">
        <v>0</v>
      </c>
      <c r="W2" s="9"/>
      <c r="X2" s="9" t="s">
        <v>18</v>
      </c>
    </row>
    <row r="3" spans="1:24">
      <c r="A3" s="4" t="s">
        <v>15</v>
      </c>
      <c r="B3" s="6">
        <v>16</v>
      </c>
      <c r="C3" s="6">
        <v>16</v>
      </c>
      <c r="D3" s="6">
        <v>16</v>
      </c>
      <c r="E3" s="6"/>
      <c r="F3" s="6"/>
      <c r="H3" s="6">
        <v>16</v>
      </c>
      <c r="I3" s="6">
        <v>16</v>
      </c>
      <c r="J3" s="6">
        <v>16</v>
      </c>
      <c r="K3" s="6"/>
      <c r="L3" s="6"/>
      <c r="N3" s="6">
        <v>16</v>
      </c>
      <c r="O3" s="6">
        <v>16</v>
      </c>
      <c r="P3" s="6">
        <v>16</v>
      </c>
      <c r="Q3" s="6"/>
      <c r="R3" s="6"/>
      <c r="T3" s="6">
        <v>16</v>
      </c>
      <c r="U3" s="6">
        <v>16</v>
      </c>
      <c r="V3" s="6">
        <v>16</v>
      </c>
      <c r="W3" s="6"/>
      <c r="X3" s="6"/>
    </row>
    <row r="4" spans="1:24">
      <c r="A4" s="5"/>
      <c r="B4" s="6">
        <f>B3*3/10</f>
        <v>4.8</v>
      </c>
      <c r="C4" s="6">
        <f>C3*5/10</f>
        <v>8</v>
      </c>
      <c r="D4" s="6">
        <f>D3*2/10</f>
        <v>3.2</v>
      </c>
      <c r="E4" s="6"/>
      <c r="F4" s="6"/>
      <c r="H4" s="6">
        <f>H3*5/10</f>
        <v>8</v>
      </c>
      <c r="I4" s="6">
        <f>I3*3/10</f>
        <v>4.8</v>
      </c>
      <c r="J4" s="6">
        <f>J3*2/10</f>
        <v>3.2</v>
      </c>
      <c r="K4" s="6"/>
      <c r="L4" s="6"/>
      <c r="N4" s="6">
        <f>N3*8/10</f>
        <v>12.8</v>
      </c>
      <c r="O4" s="6">
        <f>O3*1/10</f>
        <v>1.6</v>
      </c>
      <c r="P4" s="6">
        <f>P3*2/10</f>
        <v>3.2</v>
      </c>
      <c r="Q4" s="6"/>
      <c r="R4" s="6"/>
      <c r="T4" s="6">
        <f>T3*100%</f>
        <v>16</v>
      </c>
      <c r="U4" s="6">
        <f>U3*0</f>
        <v>0</v>
      </c>
      <c r="V4" s="6">
        <f>V3*0/10</f>
        <v>0</v>
      </c>
      <c r="W4" s="6"/>
      <c r="X4" s="6"/>
    </row>
    <row r="5" spans="1:24">
      <c r="A5" s="5"/>
      <c r="B5" s="6">
        <f>B4*10%</f>
        <v>0.48</v>
      </c>
      <c r="C5" s="6">
        <f>C4*5%</f>
        <v>0.4</v>
      </c>
      <c r="D5" s="6">
        <f>D4*2%</f>
        <v>6.4000000000000001E-2</v>
      </c>
      <c r="E5" s="6">
        <f>SUM(B5:D5)</f>
        <v>0.94399999999999995</v>
      </c>
      <c r="F5" s="7">
        <f>E5/B3</f>
        <v>5.8999999999999997E-2</v>
      </c>
      <c r="H5" s="6">
        <f>H4*10%</f>
        <v>0.8</v>
      </c>
      <c r="I5" s="6">
        <f>I4*5%</f>
        <v>0.24</v>
      </c>
      <c r="J5" s="6">
        <f>J4*2%</f>
        <v>6.4000000000000001E-2</v>
      </c>
      <c r="K5" s="6">
        <f>SUM(H5:J5)</f>
        <v>1.1040000000000001</v>
      </c>
      <c r="L5" s="7">
        <f>K5/H3</f>
        <v>6.9000000000000006E-2</v>
      </c>
      <c r="N5" s="6">
        <f>N4*10%</f>
        <v>1.2800000000000002</v>
      </c>
      <c r="O5" s="6">
        <f>O4*5%</f>
        <v>8.0000000000000016E-2</v>
      </c>
      <c r="P5" s="6">
        <f>P4*2%</f>
        <v>6.4000000000000001E-2</v>
      </c>
      <c r="Q5" s="6">
        <f>SUM(N5:P5)</f>
        <v>1.4240000000000004</v>
      </c>
      <c r="R5" s="7">
        <f>Q5/N3</f>
        <v>8.9000000000000024E-2</v>
      </c>
      <c r="T5" s="6">
        <f>T4*10%</f>
        <v>1.6</v>
      </c>
      <c r="U5" s="6">
        <f>U4*5%</f>
        <v>0</v>
      </c>
      <c r="V5" s="6">
        <f>V4*2%</f>
        <v>0</v>
      </c>
      <c r="W5" s="6">
        <f>SUM(T5:V5)</f>
        <v>1.6</v>
      </c>
      <c r="X5" s="7">
        <f>W5/T3</f>
        <v>0.1</v>
      </c>
    </row>
    <row r="7" spans="1:24">
      <c r="A7" s="4" t="s">
        <v>16</v>
      </c>
      <c r="B7" s="6">
        <v>16</v>
      </c>
      <c r="C7" s="6">
        <v>16</v>
      </c>
      <c r="D7" s="6">
        <v>16</v>
      </c>
      <c r="E7" s="6"/>
      <c r="F7" s="6"/>
      <c r="H7" s="6">
        <v>16</v>
      </c>
      <c r="I7" s="6">
        <v>16</v>
      </c>
      <c r="J7" s="6">
        <v>16</v>
      </c>
      <c r="K7" s="6"/>
      <c r="L7" s="6"/>
      <c r="N7" s="6">
        <v>16</v>
      </c>
      <c r="O7" s="6">
        <v>16</v>
      </c>
      <c r="P7" s="6">
        <v>16</v>
      </c>
      <c r="Q7" s="6"/>
      <c r="R7" s="6"/>
      <c r="T7" s="6">
        <v>16</v>
      </c>
      <c r="U7" s="6">
        <v>16</v>
      </c>
      <c r="V7" s="6">
        <v>16</v>
      </c>
      <c r="W7" s="6"/>
      <c r="X7" s="6"/>
    </row>
    <row r="8" spans="1:24">
      <c r="A8" s="5"/>
      <c r="B8" s="6">
        <f>B7*3/10</f>
        <v>4.8</v>
      </c>
      <c r="C8" s="6">
        <f>C7*5/10</f>
        <v>8</v>
      </c>
      <c r="D8" s="6">
        <f>D7*2/10</f>
        <v>3.2</v>
      </c>
      <c r="E8" s="6"/>
      <c r="F8" s="6"/>
      <c r="H8" s="6">
        <f>H7*5/10</f>
        <v>8</v>
      </c>
      <c r="I8" s="6">
        <f>I7*3/10</f>
        <v>4.8</v>
      </c>
      <c r="J8" s="6">
        <f>J7*2/10</f>
        <v>3.2</v>
      </c>
      <c r="K8" s="6"/>
      <c r="L8" s="6"/>
      <c r="N8" s="6">
        <f>N7*8/10</f>
        <v>12.8</v>
      </c>
      <c r="O8" s="6">
        <f>O7*1/10</f>
        <v>1.6</v>
      </c>
      <c r="P8" s="6">
        <f>P7*1/10</f>
        <v>1.6</v>
      </c>
      <c r="Q8" s="6"/>
      <c r="R8" s="6"/>
      <c r="T8" s="6">
        <f>T7*100%</f>
        <v>16</v>
      </c>
      <c r="U8" s="6">
        <f>U7*0</f>
        <v>0</v>
      </c>
      <c r="V8" s="6">
        <f>V7*0/10</f>
        <v>0</v>
      </c>
      <c r="W8" s="6"/>
      <c r="X8" s="6"/>
    </row>
    <row r="9" spans="1:24">
      <c r="A9" s="5"/>
      <c r="B9" s="6">
        <f>B8*15%</f>
        <v>0.72</v>
      </c>
      <c r="C9" s="6">
        <f>C8*5%</f>
        <v>0.4</v>
      </c>
      <c r="D9" s="6">
        <f>D8*2%</f>
        <v>6.4000000000000001E-2</v>
      </c>
      <c r="E9" s="6">
        <f>SUM(B9:D9)</f>
        <v>1.1840000000000002</v>
      </c>
      <c r="F9" s="7">
        <f>E9/B7</f>
        <v>7.400000000000001E-2</v>
      </c>
      <c r="H9" s="6">
        <f>H8*15%</f>
        <v>1.2</v>
      </c>
      <c r="I9" s="6">
        <f>I8*5%</f>
        <v>0.24</v>
      </c>
      <c r="J9" s="6">
        <f>J8*2%</f>
        <v>6.4000000000000001E-2</v>
      </c>
      <c r="K9" s="6">
        <f>SUM(H9:J9)</f>
        <v>1.504</v>
      </c>
      <c r="L9" s="7">
        <f>K9/H7</f>
        <v>9.4E-2</v>
      </c>
      <c r="N9" s="6">
        <f>N8*15%</f>
        <v>1.92</v>
      </c>
      <c r="O9" s="6">
        <f>O8*5%</f>
        <v>8.0000000000000016E-2</v>
      </c>
      <c r="P9" s="6">
        <f>P8*2%</f>
        <v>3.2000000000000001E-2</v>
      </c>
      <c r="Q9" s="6">
        <f>SUM(N9:P9)</f>
        <v>2.032</v>
      </c>
      <c r="R9" s="7">
        <f>Q9/N7</f>
        <v>0.127</v>
      </c>
      <c r="T9" s="6">
        <f>T8*15%</f>
        <v>2.4</v>
      </c>
      <c r="U9" s="6">
        <f>U8*5%</f>
        <v>0</v>
      </c>
      <c r="V9" s="6">
        <f>V8*2%</f>
        <v>0</v>
      </c>
      <c r="W9" s="6">
        <f>SUM(T9:V9)</f>
        <v>2.4</v>
      </c>
      <c r="X9" s="7">
        <f>W9/T7</f>
        <v>0.15</v>
      </c>
    </row>
    <row r="11" spans="1:24">
      <c r="A11" s="4" t="s">
        <v>17</v>
      </c>
      <c r="B11" s="6">
        <v>16</v>
      </c>
      <c r="C11" s="6">
        <v>16</v>
      </c>
      <c r="D11" s="6">
        <v>16</v>
      </c>
      <c r="E11" s="6"/>
      <c r="F11" s="6"/>
      <c r="H11" s="6">
        <v>16</v>
      </c>
      <c r="I11" s="6">
        <v>16</v>
      </c>
      <c r="J11" s="6">
        <v>16</v>
      </c>
      <c r="K11" s="6"/>
      <c r="L11" s="6"/>
      <c r="N11" s="6">
        <v>16</v>
      </c>
      <c r="O11" s="6">
        <v>16</v>
      </c>
      <c r="P11" s="6">
        <v>16</v>
      </c>
      <c r="Q11" s="6"/>
      <c r="R11" s="6"/>
      <c r="T11" s="6">
        <v>16</v>
      </c>
      <c r="U11" s="6">
        <v>16</v>
      </c>
      <c r="V11" s="6">
        <v>16</v>
      </c>
      <c r="W11" s="6"/>
      <c r="X11" s="6"/>
    </row>
    <row r="12" spans="1:24">
      <c r="A12" s="5"/>
      <c r="B12" s="6">
        <f>B11*3/10</f>
        <v>4.8</v>
      </c>
      <c r="C12" s="6">
        <f>C11*5/10</f>
        <v>8</v>
      </c>
      <c r="D12" s="6">
        <f>D11*2/10</f>
        <v>3.2</v>
      </c>
      <c r="E12" s="6"/>
      <c r="F12" s="6"/>
      <c r="H12" s="6">
        <f>H11*5/10</f>
        <v>8</v>
      </c>
      <c r="I12" s="6">
        <f>I11*3/10</f>
        <v>4.8</v>
      </c>
      <c r="J12" s="6">
        <f>J11*2/10</f>
        <v>3.2</v>
      </c>
      <c r="K12" s="6"/>
      <c r="L12" s="6"/>
      <c r="N12" s="6">
        <f>N11*8/10</f>
        <v>12.8</v>
      </c>
      <c r="O12" s="6">
        <f>O11*1/10</f>
        <v>1.6</v>
      </c>
      <c r="P12" s="6">
        <f>P11*1/10</f>
        <v>1.6</v>
      </c>
      <c r="Q12" s="6"/>
      <c r="R12" s="6"/>
      <c r="T12" s="6">
        <f>T11*100%</f>
        <v>16</v>
      </c>
      <c r="U12" s="6">
        <f>U11*0</f>
        <v>0</v>
      </c>
      <c r="V12" s="6">
        <f>V11*0/10</f>
        <v>0</v>
      </c>
      <c r="W12" s="6"/>
      <c r="X12" s="6"/>
    </row>
    <row r="13" spans="1:24">
      <c r="A13" s="5"/>
      <c r="B13" s="6">
        <f>B12*20%</f>
        <v>0.96</v>
      </c>
      <c r="C13" s="6">
        <f>C12*5%</f>
        <v>0.4</v>
      </c>
      <c r="D13" s="6">
        <f>D12*2%</f>
        <v>6.4000000000000001E-2</v>
      </c>
      <c r="E13" s="6">
        <f>SUM(B13:D13)</f>
        <v>1.4239999999999999</v>
      </c>
      <c r="F13" s="7">
        <f>E13/B11</f>
        <v>8.8999999999999996E-2</v>
      </c>
      <c r="H13" s="6">
        <f>H12*20%</f>
        <v>1.6</v>
      </c>
      <c r="I13" s="6">
        <f>I12*5%</f>
        <v>0.24</v>
      </c>
      <c r="J13" s="6">
        <f>J12*2%</f>
        <v>6.4000000000000001E-2</v>
      </c>
      <c r="K13" s="6">
        <f>SUM(H13:J13)</f>
        <v>1.9040000000000001</v>
      </c>
      <c r="L13" s="7">
        <f>K13/H11</f>
        <v>0.11900000000000001</v>
      </c>
      <c r="N13" s="6">
        <f>N12*20%</f>
        <v>2.5600000000000005</v>
      </c>
      <c r="O13" s="6">
        <f>O12*5%</f>
        <v>8.0000000000000016E-2</v>
      </c>
      <c r="P13" s="6">
        <f>P12*2%</f>
        <v>3.2000000000000001E-2</v>
      </c>
      <c r="Q13" s="6">
        <f>SUM(N13:P13)</f>
        <v>2.6720000000000006</v>
      </c>
      <c r="R13" s="7">
        <f>Q13/N11</f>
        <v>0.16700000000000004</v>
      </c>
      <c r="T13" s="6">
        <f>T12*20%</f>
        <v>3.2</v>
      </c>
      <c r="U13" s="6">
        <f>U12*5%</f>
        <v>0</v>
      </c>
      <c r="V13" s="6">
        <f>V12*2%</f>
        <v>0</v>
      </c>
      <c r="W13" s="6">
        <f>SUM(T13:V13)</f>
        <v>3.2</v>
      </c>
      <c r="X13" s="7">
        <f>W13/T11</f>
        <v>0.2</v>
      </c>
    </row>
  </sheetData>
  <mergeCells count="3">
    <mergeCell ref="A3:A5"/>
    <mergeCell ref="A7:A9"/>
    <mergeCell ref="A11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1版</vt:lpstr>
      <vt:lpstr>2版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2022-12-16T03:20:54Z</dcterms:created>
  <dcterms:modified xsi:type="dcterms:W3CDTF">2022-12-20T06:40:39Z</dcterms:modified>
</cp:coreProperties>
</file>